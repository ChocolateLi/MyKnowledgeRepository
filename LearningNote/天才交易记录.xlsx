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MyKnowledgeRepository\LearningNote\"/>
    </mc:Choice>
  </mc:AlternateContent>
  <xr:revisionPtr revIDLastSave="0" documentId="13_ncr:1_{6121E0C4-1686-4D6B-9F2A-A124D914F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交易记录" sheetId="1" r:id="rId1"/>
    <sheet name="交易统计" sheetId="2" r:id="rId2"/>
    <sheet name="2026年月度收益" sheetId="3" r:id="rId3"/>
    <sheet name="压力测试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O11" i="1"/>
  <c r="Q11" i="1"/>
  <c r="R12" i="1"/>
  <c r="I12" i="1"/>
  <c r="L12" i="1"/>
  <c r="M12" i="1"/>
  <c r="P12" i="1"/>
  <c r="P11" i="1"/>
  <c r="R10" i="1"/>
  <c r="R11" i="1"/>
  <c r="O10" i="1"/>
  <c r="L10" i="1"/>
  <c r="M10" i="1" s="1"/>
  <c r="L11" i="1"/>
  <c r="M11" i="1"/>
  <c r="J10" i="1"/>
  <c r="I11" i="1"/>
  <c r="I10" i="1"/>
  <c r="Q9" i="1"/>
  <c r="R9" i="1"/>
  <c r="I9" i="1"/>
  <c r="J9" i="1"/>
  <c r="L9" i="1"/>
  <c r="O9" i="1" s="1"/>
  <c r="M9" i="1"/>
  <c r="P9" i="1"/>
  <c r="O8" i="1"/>
  <c r="Q8" i="1"/>
  <c r="R8" i="1"/>
  <c r="I8" i="1"/>
  <c r="J8" i="1"/>
  <c r="L8" i="1"/>
  <c r="M8" i="1"/>
  <c r="P8" i="1"/>
  <c r="O4" i="1"/>
  <c r="O6" i="1"/>
  <c r="M4" i="1"/>
  <c r="R7" i="1"/>
  <c r="I7" i="1"/>
  <c r="J7" i="1"/>
  <c r="L7" i="1" s="1"/>
  <c r="R5" i="1"/>
  <c r="R6" i="1"/>
  <c r="Q4" i="1"/>
  <c r="Q6" i="1"/>
  <c r="P4" i="1"/>
  <c r="L3" i="1"/>
  <c r="M3" i="1" s="1"/>
  <c r="L4" i="1"/>
  <c r="L5" i="1"/>
  <c r="Q5" i="1" s="1"/>
  <c r="L6" i="1"/>
  <c r="M6" i="1" s="1"/>
  <c r="I6" i="1"/>
  <c r="J6" i="1"/>
  <c r="I5" i="1"/>
  <c r="J5" i="1"/>
  <c r="B12" i="4"/>
  <c r="C12" i="4" s="1"/>
  <c r="D12" i="4" s="1"/>
  <c r="B5" i="3"/>
  <c r="D5" i="3" s="1"/>
  <c r="M2" i="1"/>
  <c r="L2" i="1"/>
  <c r="J4" i="1"/>
  <c r="R4" i="1"/>
  <c r="I4" i="1"/>
  <c r="R2" i="1"/>
  <c r="Q2" i="1"/>
  <c r="P2" i="1"/>
  <c r="O2" i="1"/>
  <c r="J2" i="1"/>
  <c r="I2" i="1"/>
  <c r="B4" i="3"/>
  <c r="D4" i="3" s="1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3" i="3"/>
  <c r="D3" i="3" s="1"/>
  <c r="H4" i="3"/>
  <c r="H5" i="3"/>
  <c r="H6" i="3"/>
  <c r="H7" i="3"/>
  <c r="H8" i="3"/>
  <c r="H9" i="3"/>
  <c r="H10" i="3"/>
  <c r="H11" i="3"/>
  <c r="H12" i="3"/>
  <c r="H13" i="3"/>
  <c r="H14" i="3"/>
  <c r="G4" i="3"/>
  <c r="G5" i="3"/>
  <c r="G6" i="3"/>
  <c r="G7" i="3"/>
  <c r="G8" i="3"/>
  <c r="G9" i="3"/>
  <c r="G10" i="3"/>
  <c r="G11" i="3"/>
  <c r="G12" i="3"/>
  <c r="G13" i="3"/>
  <c r="G14" i="3"/>
  <c r="F4" i="3"/>
  <c r="F5" i="3"/>
  <c r="F6" i="3"/>
  <c r="F7" i="3"/>
  <c r="F8" i="3"/>
  <c r="F9" i="3"/>
  <c r="F10" i="3"/>
  <c r="F11" i="3"/>
  <c r="F12" i="3"/>
  <c r="F13" i="3"/>
  <c r="F14" i="3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H3" i="3"/>
  <c r="G3" i="3"/>
  <c r="F3" i="3"/>
  <c r="C3" i="3" a="1"/>
  <c r="C3" i="3" s="1"/>
  <c r="J3" i="1"/>
  <c r="I3" i="1"/>
  <c r="R3" i="1" s="1"/>
  <c r="Q10" i="1" l="1"/>
  <c r="P10" i="1"/>
  <c r="P5" i="1"/>
  <c r="O5" i="1"/>
  <c r="M5" i="1"/>
  <c r="P7" i="1"/>
  <c r="O7" i="1"/>
  <c r="M7" i="1"/>
  <c r="Q7" i="1"/>
  <c r="P6" i="1"/>
  <c r="B16" i="4"/>
  <c r="C16" i="4" s="1"/>
  <c r="D16" i="4" s="1"/>
  <c r="B15" i="4"/>
  <c r="C15" i="4" s="1"/>
  <c r="D15" i="4" s="1"/>
  <c r="E15" i="4" s="1"/>
  <c r="B14" i="4"/>
  <c r="C14" i="4" s="1"/>
  <c r="D14" i="4" s="1"/>
  <c r="E14" i="4" s="1"/>
  <c r="B10" i="4"/>
  <c r="C10" i="4" s="1"/>
  <c r="D10" i="4" s="1"/>
  <c r="E10" i="4" s="1"/>
  <c r="A18" i="2"/>
  <c r="B11" i="4"/>
  <c r="C11" i="4" s="1"/>
  <c r="D11" i="4" s="1"/>
  <c r="E11" i="4" s="1"/>
  <c r="B9" i="4"/>
  <c r="C9" i="4" s="1"/>
  <c r="D9" i="4" s="1"/>
  <c r="E9" i="4" s="1"/>
  <c r="B8" i="4"/>
  <c r="C8" i="4" s="1"/>
  <c r="D8" i="4" s="1"/>
  <c r="E8" i="4" s="1"/>
  <c r="P3" i="1"/>
  <c r="B7" i="4"/>
  <c r="C7" i="4" s="1"/>
  <c r="D7" i="4" s="1"/>
  <c r="E7" i="4" s="1"/>
  <c r="B13" i="4"/>
  <c r="C13" i="4" s="1"/>
  <c r="D13" i="4" s="1"/>
  <c r="E13" i="4" s="1"/>
  <c r="E16" i="4"/>
  <c r="E12" i="4"/>
  <c r="A14" i="2" l="1" a="1"/>
  <c r="A14" i="2" s="1"/>
  <c r="A4" i="2"/>
  <c r="A9" i="2" s="1"/>
  <c r="A3" i="2"/>
  <c r="A8" i="2" s="1"/>
  <c r="A2" i="2"/>
  <c r="A17" i="2" s="1"/>
  <c r="O3" i="1"/>
  <c r="A13" i="2" s="1"/>
  <c r="Q3" i="1"/>
  <c r="A6" i="2"/>
  <c r="A15" i="2" a="1"/>
  <c r="A15" i="2" s="1"/>
  <c r="A5" i="2" l="1"/>
  <c r="A11" i="2" s="1"/>
  <c r="A12" i="2" s="1"/>
  <c r="A10" i="2"/>
  <c r="A7" i="2"/>
</calcChain>
</file>

<file path=xl/sharedStrings.xml><?xml version="1.0" encoding="utf-8"?>
<sst xmlns="http://schemas.openxmlformats.org/spreadsheetml/2006/main" count="146" uniqueCount="140">
  <si>
    <t>股票代码</t>
    <phoneticPr fontId="1" type="noConversion"/>
  </si>
  <si>
    <t>股票名称</t>
  </si>
  <si>
    <t>卖出价(元)</t>
    <phoneticPr fontId="1" type="noConversion"/>
  </si>
  <si>
    <t>数量(股)</t>
    <phoneticPr fontId="1" type="noConversion"/>
  </si>
  <si>
    <t>买入金额(元）</t>
    <phoneticPr fontId="1" type="noConversion"/>
  </si>
  <si>
    <t>卖出金额（元）</t>
    <phoneticPr fontId="1" type="noConversion"/>
  </si>
  <si>
    <t>实际盈亏金额（元）</t>
    <phoneticPr fontId="1" type="noConversion"/>
  </si>
  <si>
    <t>盈亏比例（%）</t>
    <phoneticPr fontId="1" type="noConversion"/>
  </si>
  <si>
    <t>盈亏R数</t>
    <phoneticPr fontId="1" type="noConversion"/>
  </si>
  <si>
    <t>手续费</t>
    <phoneticPr fontId="1" type="noConversion"/>
  </si>
  <si>
    <t>是否盈利</t>
    <phoneticPr fontId="1" type="noConversion"/>
  </si>
  <si>
    <t>实际盈亏比</t>
    <phoneticPr fontId="1" type="noConversion"/>
  </si>
  <si>
    <t>策略类型</t>
    <phoneticPr fontId="1" type="noConversion"/>
  </si>
  <si>
    <t>买点逻辑</t>
    <phoneticPr fontId="1" type="noConversion"/>
  </si>
  <si>
    <t>宝新能源</t>
    <phoneticPr fontId="1" type="noConversion"/>
  </si>
  <si>
    <t>短线</t>
    <phoneticPr fontId="1" type="noConversion"/>
  </si>
  <si>
    <t>止损止盈原因</t>
    <phoneticPr fontId="1" type="noConversion"/>
  </si>
  <si>
    <t>首板，集合竞价买入，博二板</t>
    <phoneticPr fontId="1" type="noConversion"/>
  </si>
  <si>
    <t>账户</t>
    <phoneticPr fontId="1" type="noConversion"/>
  </si>
  <si>
    <t>国信</t>
    <phoneticPr fontId="1" type="noConversion"/>
  </si>
  <si>
    <t>核心统计（仅统计已卖出交易）</t>
    <phoneticPr fontId="1" type="noConversion"/>
  </si>
  <si>
    <t>总交易次数（已卖出）</t>
  </si>
  <si>
    <t>盈利次数</t>
  </si>
  <si>
    <t>亏损次数</t>
  </si>
  <si>
    <t>胜率（%）</t>
  </si>
  <si>
    <t>总盈亏金额（元）</t>
  </si>
  <si>
    <t>平均每笔盈亏（元）</t>
  </si>
  <si>
    <t>平均盈利R数</t>
  </si>
  <si>
    <r>
      <rPr>
        <sz val="12"/>
        <color rgb="FF333333"/>
        <rFont val="宋体"/>
        <family val="3"/>
        <charset val="134"/>
      </rPr>
      <t>平均亏损</t>
    </r>
    <r>
      <rPr>
        <sz val="12"/>
        <color rgb="FF333333"/>
        <rFont val="Arial"/>
        <family val="2"/>
      </rPr>
      <t>R</t>
    </r>
    <r>
      <rPr>
        <sz val="12"/>
        <color rgb="FF333333"/>
        <rFont val="宋体"/>
        <family val="3"/>
        <charset val="134"/>
      </rPr>
      <t>数（绝对值）</t>
    </r>
    <phoneticPr fontId="1" type="noConversion"/>
  </si>
  <si>
    <r>
      <rPr>
        <sz val="12"/>
        <color rgb="FF333333"/>
        <rFont val="等线"/>
        <family val="2"/>
      </rPr>
      <t>实际盈亏比</t>
    </r>
    <phoneticPr fontId="1" type="noConversion"/>
  </si>
  <si>
    <t>每笔期望值（R）</t>
  </si>
  <si>
    <t>每笔期望值（元）</t>
  </si>
  <si>
    <t>总盈亏R数</t>
  </si>
  <si>
    <t>最大连续盈利次数</t>
  </si>
  <si>
    <t>最大连续亏损次数</t>
  </si>
  <si>
    <t>未卖出股票统计</t>
  </si>
  <si>
    <t>未卖出笔数</t>
  </si>
  <si>
    <t>未卖出总投入（元）</t>
  </si>
  <si>
    <t>未卖出交易不参与统计，避免影响数据准确性</t>
  </si>
  <si>
    <t>仅统计已完成的交易（买入+卖出）</t>
  </si>
  <si>
    <t>自动统计盈利交易的数量</t>
  </si>
  <si>
    <t>自动统计亏损交易的数量</t>
  </si>
  <si>
    <t>盈利次数÷总交易次数，自动保留小数（可设置保留2位）</t>
  </si>
  <si>
    <t>所有已卖出交易的盈亏总和（扣手续费）</t>
  </si>
  <si>
    <r>
      <rPr>
        <sz val="12"/>
        <color rgb="FF333333"/>
        <rFont val="宋体"/>
        <family val="3"/>
        <charset val="134"/>
      </rPr>
      <t>总盈亏</t>
    </r>
    <r>
      <rPr>
        <sz val="12"/>
        <color rgb="FF333333"/>
        <rFont val="Arial"/>
        <family val="2"/>
      </rPr>
      <t>÷</t>
    </r>
    <r>
      <rPr>
        <sz val="12"/>
        <color rgb="FF333333"/>
        <rFont val="宋体"/>
        <family val="3"/>
        <charset val="134"/>
      </rPr>
      <t>总交易次数，直观看每笔平均收益</t>
    </r>
    <phoneticPr fontId="1" type="noConversion"/>
  </si>
  <si>
    <t>仅统计盈利交易的平均R数，看盈利幅度</t>
  </si>
  <si>
    <t>仅统计亏损交易的平均R数（取绝对值），看亏损控制情况</t>
  </si>
  <si>
    <r>
      <rPr>
        <sz val="12"/>
        <color rgb="FF333333"/>
        <rFont val="宋体"/>
        <family val="3"/>
        <charset val="134"/>
      </rPr>
      <t>平均盈利</t>
    </r>
    <r>
      <rPr>
        <sz val="12"/>
        <color rgb="FF333333"/>
        <rFont val="Arial"/>
        <family val="2"/>
      </rPr>
      <t>R÷</t>
    </r>
    <r>
      <rPr>
        <sz val="12"/>
        <color rgb="FF333333"/>
        <rFont val="宋体"/>
        <family val="3"/>
        <charset val="134"/>
      </rPr>
      <t>平均亏损</t>
    </r>
    <r>
      <rPr>
        <sz val="12"/>
        <color rgb="FF333333"/>
        <rFont val="Arial"/>
        <family val="2"/>
      </rPr>
      <t>R</t>
    </r>
    <r>
      <rPr>
        <sz val="12"/>
        <color rgb="FF333333"/>
        <rFont val="宋体"/>
        <family val="3"/>
        <charset val="134"/>
      </rPr>
      <t>，对比预设</t>
    </r>
    <r>
      <rPr>
        <sz val="12"/>
        <color rgb="FF333333"/>
        <rFont val="Arial"/>
        <family val="2"/>
      </rPr>
      <t>3:1</t>
    </r>
    <r>
      <rPr>
        <sz val="12"/>
        <color rgb="FF333333"/>
        <rFont val="宋体"/>
        <family val="3"/>
        <charset val="134"/>
      </rPr>
      <t>目标，判断是否达标</t>
    </r>
    <phoneticPr fontId="1" type="noConversion"/>
  </si>
  <si>
    <t>核心公式！正=长期盈利，负=长期亏损，需重点关注</t>
  </si>
  <si>
    <t>将R数换算成金额，更直观看每笔平均预期收益</t>
  </si>
  <si>
    <t>所有已卖出交易的R数总和，看整体策略表现</t>
  </si>
  <si>
    <t>数组公式（输入后按Ctrl+Shift+Enter确认），看策略的盈利连贯性</t>
  </si>
  <si>
    <t>数组公式（按Ctrl+Shift+Enter确认），看策略的风险承受能力</t>
  </si>
  <si>
    <t>统计未完成交易，便于跟踪持仓情况</t>
  </si>
  <si>
    <r>
      <rPr>
        <sz val="12"/>
        <color rgb="FF333333"/>
        <rFont val="宋体"/>
        <family val="3"/>
        <charset val="134"/>
      </rPr>
      <t>总记录数</t>
    </r>
    <r>
      <rPr>
        <sz val="12"/>
        <color rgb="FF333333"/>
        <rFont val="Arial"/>
        <family val="2"/>
      </rPr>
      <t>-</t>
    </r>
    <r>
      <rPr>
        <sz val="12"/>
        <color rgb="FF333333"/>
        <rFont val="宋体"/>
        <family val="3"/>
        <charset val="134"/>
      </rPr>
      <t>已卖出交易数</t>
    </r>
    <r>
      <rPr>
        <sz val="12"/>
        <color rgb="FF333333"/>
        <rFont val="Arial"/>
        <family val="2"/>
      </rPr>
      <t>=</t>
    </r>
    <r>
      <rPr>
        <sz val="12"/>
        <color rgb="FF333333"/>
        <rFont val="宋体"/>
        <family val="3"/>
        <charset val="134"/>
      </rPr>
      <t>未卖出笔数</t>
    </r>
    <phoneticPr fontId="1" type="noConversion"/>
  </si>
  <si>
    <t>未卖出股票的总买入金额，便于管理仓位</t>
  </si>
  <si>
    <t>月份</t>
  </si>
  <si>
    <t>当月交易次数</t>
  </si>
  <si>
    <t>当月盈利次数</t>
  </si>
  <si>
    <t>当月胜率（%）</t>
  </si>
  <si>
    <t>当月总盈亏（元）</t>
  </si>
  <si>
    <t>当月收益率（%）</t>
  </si>
  <si>
    <t>累计盈亏（元）</t>
  </si>
  <si>
    <t>累计收益率（%）</t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</si>
  <si>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(YEAR(交易记录!B:B)=$A$1)</t>
    </r>
    <r>
      <rPr>
        <sz val="12"/>
        <color rgb="FF333333"/>
        <rFont val="Arial"/>
        <family val="2"/>
      </rPr>
      <t>(交易记录!K:K)</t>
    </r>
  </si>
  <si>
    <t>2026年</t>
    <phoneticPr fontId="1" type="noConversion"/>
  </si>
  <si>
    <t>自动统计当月已卖出的交易次数</t>
  </si>
  <si>
    <t>自动统计当月盈利的交易次数</t>
  </si>
  <si>
    <t>当月盈利次数÷当月交易次数</t>
  </si>
  <si>
    <t>自动统计当月所有已卖出交易的盈亏总和</t>
  </si>
  <si>
    <t>以5万本金为基准，计算当月收益率（可修改为本金实际金额）</t>
  </si>
  <si>
    <t>从1月份开始，累计到当月的总盈亏</t>
  </si>
  <si>
    <t>累计盈亏÷5万本金，看长期收益情况</t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</si>
  <si>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(YEAR(交易记录!B:B)=$A$2)(交易记录!K:K)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</si>
  <si>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(YEAR(交易记录!B:B)=$A$3)(交易记录!K:K)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</si>
  <si>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(YEAR(交易记录!B:B)=$A$4)(交易记录!K:K)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</si>
  <si>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(YEAR(交易记录!B:B)=$A$5)(交易记录!K:K)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</si>
  <si>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(YEAR(交易记录!B:B)=$A$6)(交易记录!K:K)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</si>
  <si>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(YEAR(交易记录!B:B)=$A$7)(交易记录!K:K)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</si>
  <si>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(YEAR(交易记录!B:B)=$A$8)(交易记录!K:K)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</si>
  <si>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(YEAR(交易记录!B:B)=$A$9)(交易记录!K:K)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</si>
  <si>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(YEAR(交易记录!B:B)=$A$10)(交易记录!K:K)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</si>
  <si>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(YEAR(交易记录!B:B)=$A$11)(交易记录!K:K)</t>
    </r>
    <r>
      <rPr>
        <sz val="12"/>
        <color rgb="FF333333"/>
        <rFont val="Arial"/>
        <family val="2"/>
      </rPr>
      <t/>
    </r>
  </si>
  <si>
    <r>
      <t>=SUMPRODUCT((MONTH(交易记录!B:B)=A3)</t>
    </r>
    <r>
      <rPr>
        <i/>
        <sz val="12"/>
        <color rgb="FF333333"/>
        <rFont val="Arial"/>
        <family val="2"/>
      </rPr>
      <t>(YEAR(交易记录!B:B)=$A$12)(交易记录!K:K)</t>
    </r>
    <r>
      <rPr>
        <sz val="12"/>
        <color rgb="FF333333"/>
        <rFont val="Arial"/>
        <family val="2"/>
      </rPr>
      <t/>
    </r>
  </si>
  <si>
    <t>基础参数</t>
  </si>
  <si>
    <t>单笔风险1R（元）</t>
  </si>
  <si>
    <t>连续亏损测试</t>
  </si>
  <si>
    <t>连续亏损次数</t>
  </si>
  <si>
    <t>累计亏损金额（元）</t>
  </si>
  <si>
    <t>剩余本金（元）</t>
  </si>
  <si>
    <t>回本所需涨幅（%）</t>
  </si>
  <si>
    <t>风险提示</t>
  </si>
  <si>
    <t>初始本金（元）</t>
    <phoneticPr fontId="1" type="noConversion"/>
  </si>
  <si>
    <t>亏损1R的卖出价</t>
    <phoneticPr fontId="1" type="noConversion"/>
  </si>
  <si>
    <t>国信</t>
    <phoneticPr fontId="1" type="noConversion"/>
  </si>
  <si>
    <t>烽火通信</t>
    <phoneticPr fontId="1" type="noConversion"/>
  </si>
  <si>
    <t>中长线</t>
    <phoneticPr fontId="1" type="noConversion"/>
  </si>
  <si>
    <t>以为低点，想抄底的，结果炒到半山腰</t>
    <phoneticPr fontId="1" type="noConversion"/>
  </si>
  <si>
    <t>成本价(元)</t>
    <phoneticPr fontId="1" type="noConversion"/>
  </si>
  <si>
    <t>中信</t>
    <phoneticPr fontId="1" type="noConversion"/>
  </si>
  <si>
    <t>豫能控股</t>
    <phoneticPr fontId="1" type="noConversion"/>
  </si>
  <si>
    <t>算电协同，冲就完事了</t>
    <phoneticPr fontId="1" type="noConversion"/>
  </si>
  <si>
    <t>不想持仓了，想空仓一段时间。</t>
    <phoneticPr fontId="1" type="noConversion"/>
  </si>
  <si>
    <t>电力板块走弱了，也超出了自己的盈亏R数了，果断清了</t>
    <phoneticPr fontId="1" type="noConversion"/>
  </si>
  <si>
    <t>国信</t>
    <phoneticPr fontId="1" type="noConversion"/>
  </si>
  <si>
    <t>东诚药业</t>
    <phoneticPr fontId="1" type="noConversion"/>
  </si>
  <si>
    <t>短线</t>
    <phoneticPr fontId="1" type="noConversion"/>
  </si>
  <si>
    <t>以为医药是主线，集合竞价就买入了，结果又吃瘪了，看来自己不适合博弈二板的，适合等它回调后再买入。这种情况很容易追高，老是买在高价，有点赌博性质，所以以后不做这样的操作了。</t>
    <phoneticPr fontId="1" type="noConversion"/>
  </si>
  <si>
    <t>金风科技</t>
    <phoneticPr fontId="1" type="noConversion"/>
  </si>
  <si>
    <t>商业航天回流，它还在相对低位，所以就买入了。但是我觉得，我还是比较适合2点半后买入比较合适，因为早上十点半前买入我容易买高位，不好把握。有时自己确实也比较容易冲动，管不住自己的手，还是得改，得再忍忍。</t>
    <phoneticPr fontId="1" type="noConversion"/>
  </si>
  <si>
    <t>国信</t>
    <phoneticPr fontId="1" type="noConversion"/>
  </si>
  <si>
    <t>数据港</t>
    <phoneticPr fontId="1" type="noConversion"/>
  </si>
  <si>
    <t>卖了，腾仓位买数据港，但貌似又卖飞了</t>
    <phoneticPr fontId="1" type="noConversion"/>
  </si>
  <si>
    <t>数据中心长期逻辑，似乎又买高了，看来不适合上午买票。如果非要上午买票，可以分批次买，先轻仓介入，后续看情况再买。</t>
    <phoneticPr fontId="1" type="noConversion"/>
  </si>
  <si>
    <t>跌破位了，不指望回本了，为自己的冲动买单。下次不能再这么冲动了。赶着给人家送钱，真想给自己两拳，但还是要稳住心态，心态不能炸，炸了操作就会变形，稳住心态。头脑一热，很容易追涨杀跌。</t>
    <phoneticPr fontId="1" type="noConversion"/>
  </si>
  <si>
    <t>单笔风险1R(元）(按当前账户本金亏损的4%来算)</t>
    <phoneticPr fontId="1" type="noConversion"/>
  </si>
  <si>
    <t>美利云</t>
    <phoneticPr fontId="1" type="noConversion"/>
  </si>
  <si>
    <t>中长线</t>
    <phoneticPr fontId="1" type="noConversion"/>
  </si>
  <si>
    <t>大师兄买入的</t>
    <phoneticPr fontId="1" type="noConversion"/>
  </si>
  <si>
    <t>被大师兄割肉跑了，买了美利云。我觉得割早了，我本想的是长期持有到18元，目前来看算电协同应该是退朝了。</t>
    <phoneticPr fontId="1" type="noConversion"/>
  </si>
  <si>
    <t>国信</t>
    <phoneticPr fontId="1" type="noConversion"/>
  </si>
  <si>
    <t>远东股份</t>
    <phoneticPr fontId="1" type="noConversion"/>
  </si>
  <si>
    <t>短线</t>
    <phoneticPr fontId="1" type="noConversion"/>
  </si>
  <si>
    <t>多头趋势向上，站稳了5日线</t>
    <phoneticPr fontId="1" type="noConversion"/>
  </si>
  <si>
    <t>中信</t>
    <phoneticPr fontId="1" type="noConversion"/>
  </si>
  <si>
    <t>破位了14.2，卖太急了，条件单还是不要顺便乱设置</t>
    <phoneticPr fontId="1" type="noConversion"/>
  </si>
  <si>
    <t>没握住，卖完第二天就涨停了。不过卖飞总比亏损强</t>
    <phoneticPr fontId="1" type="noConversion"/>
  </si>
  <si>
    <t>国机精工</t>
    <phoneticPr fontId="1" type="noConversion"/>
  </si>
  <si>
    <t>短线</t>
    <phoneticPr fontId="1" type="noConversion"/>
  </si>
  <si>
    <t>买入日期</t>
    <phoneticPr fontId="1" type="noConversion"/>
  </si>
  <si>
    <t>卖出日期</t>
    <phoneticPr fontId="1" type="noConversion"/>
  </si>
  <si>
    <t>国信</t>
    <phoneticPr fontId="1" type="noConversion"/>
  </si>
  <si>
    <t>云赛智联</t>
    <phoneticPr fontId="1" type="noConversion"/>
  </si>
  <si>
    <t>趋势向上，但是买点似乎不是很好</t>
    <phoneticPr fontId="1" type="noConversion"/>
  </si>
  <si>
    <t>中信</t>
    <phoneticPr fontId="1" type="noConversion"/>
  </si>
  <si>
    <t>没看出很强，不懂里面逻辑，业绩估计也不是很好，所以清了。卖完第二天就大涨7%，分时一直在黄线之上，就要拿稳。我觉得一个股票还是要拿久一点，起码要以半月为准，除非大涨后，我觉得还是得耐心持股</t>
    <phoneticPr fontId="1" type="noConversion"/>
  </si>
  <si>
    <t>凯盛科技</t>
    <phoneticPr fontId="1" type="noConversion"/>
  </si>
  <si>
    <t>短线</t>
    <phoneticPr fontId="1" type="noConversion"/>
  </si>
  <si>
    <t>UTG玻璃，有商业航天概念，前一天涨停，说明有资金进入。有点买高了，我觉得还是得尾盘来买入，等它企稳。还是得等回踩后再来介入比较合适</t>
    <phoneticPr fontId="1" type="noConversion"/>
  </si>
  <si>
    <t>4.20补了一点仓 23.8，以为低点，还有更低点，还是太着急了，等待企稳后再买入会比较合适。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</si>
</sst>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  <font>
      <sz val="12"/>
      <color rgb="FF333333"/>
      <name val="Arial"/>
      <family val="3"/>
      <charset val="134"/>
    </font>
    <font>
      <sz val="12"/>
      <color rgb="FF333333"/>
      <name val="等线"/>
      <family val="2"/>
    </font>
    <font>
      <sz val="11"/>
      <color rgb="FF0000FF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i/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0" fillId="0" borderId="0" xfId="0" applyNumberFormat="1" applyAlignment="1">
      <alignment horizontal="center" vertical="center"/>
    </xf>
    <xf numFmtId="3" fontId="6" fillId="0" borderId="0" xfId="0" applyNumberFormat="1" applyFont="1"/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G12" sqref="G12"/>
    </sheetView>
  </sheetViews>
  <sheetFormatPr defaultRowHeight="14.25" x14ac:dyDescent="0.2"/>
  <cols>
    <col min="1" max="1" width="14.25" style="2" customWidth="1"/>
    <col min="2" max="3" width="16.125" style="2" customWidth="1"/>
    <col min="4" max="4" width="15.75" style="2" customWidth="1"/>
    <col min="5" max="5" width="17" style="2" customWidth="1"/>
    <col min="6" max="6" width="23.25" style="2" customWidth="1"/>
    <col min="7" max="7" width="18.875" style="2" customWidth="1"/>
    <col min="8" max="8" width="20.25" style="2" customWidth="1"/>
    <col min="9" max="9" width="17.625" style="2" customWidth="1"/>
    <col min="10" max="10" width="17.25" style="2" customWidth="1"/>
    <col min="11" max="11" width="11.375" style="2" customWidth="1"/>
    <col min="12" max="12" width="22.625" style="2" customWidth="1"/>
    <col min="13" max="13" width="15" style="2" customWidth="1"/>
    <col min="14" max="14" width="17.25" style="2" customWidth="1"/>
    <col min="15" max="15" width="19.875" style="2" customWidth="1"/>
    <col min="16" max="16" width="9" style="2"/>
    <col min="17" max="18" width="15.5" style="2" customWidth="1"/>
    <col min="19" max="19" width="13.625" style="2" customWidth="1"/>
    <col min="20" max="20" width="18.625" style="2" customWidth="1"/>
    <col min="21" max="21" width="16.875" style="2" customWidth="1"/>
    <col min="22" max="16384" width="9" style="2"/>
  </cols>
  <sheetData>
    <row r="1" spans="1:21" x14ac:dyDescent="0.2">
      <c r="A1" s="1" t="s">
        <v>18</v>
      </c>
      <c r="B1" s="1" t="s">
        <v>129</v>
      </c>
      <c r="C1" s="1" t="s">
        <v>130</v>
      </c>
      <c r="D1" s="1" t="s">
        <v>0</v>
      </c>
      <c r="E1" s="1" t="s">
        <v>1</v>
      </c>
      <c r="F1" s="1" t="s">
        <v>98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9</v>
      </c>
      <c r="L1" s="1" t="s">
        <v>6</v>
      </c>
      <c r="M1" s="1" t="s">
        <v>7</v>
      </c>
      <c r="N1" s="1" t="s">
        <v>115</v>
      </c>
      <c r="O1" s="1" t="s">
        <v>8</v>
      </c>
      <c r="P1" s="1" t="s">
        <v>10</v>
      </c>
      <c r="Q1" s="1" t="s">
        <v>11</v>
      </c>
      <c r="R1" s="1" t="s">
        <v>93</v>
      </c>
      <c r="S1" s="1" t="s">
        <v>12</v>
      </c>
      <c r="T1" s="1" t="s">
        <v>13</v>
      </c>
      <c r="U1" s="1" t="s">
        <v>16</v>
      </c>
    </row>
    <row r="2" spans="1:21" ht="15" x14ac:dyDescent="0.2">
      <c r="A2" s="2" t="s">
        <v>94</v>
      </c>
      <c r="B2" s="16">
        <v>46100</v>
      </c>
      <c r="C2" s="16">
        <v>46111</v>
      </c>
      <c r="D2" s="2">
        <v>600498</v>
      </c>
      <c r="E2" s="2" t="s">
        <v>95</v>
      </c>
      <c r="F2" s="1">
        <v>43.886000000000003</v>
      </c>
      <c r="G2" s="1">
        <v>47.75</v>
      </c>
      <c r="H2" s="1">
        <v>600</v>
      </c>
      <c r="I2" s="1">
        <f t="shared" ref="I2:I12" si="0">F2*H2</f>
        <v>26331.600000000002</v>
      </c>
      <c r="J2" s="1">
        <f t="shared" ref="J2:J11" si="1">G2*H2</f>
        <v>28650</v>
      </c>
      <c r="K2" s="1">
        <v>37.54</v>
      </c>
      <c r="L2" s="1">
        <f>IF(G2&lt;&gt;"",J2-I2-K2,"")</f>
        <v>2280.8599999999979</v>
      </c>
      <c r="M2" s="11">
        <f>IF(G2&lt;&gt;"",L2/I2*100,"")</f>
        <v>8.6620638320496965</v>
      </c>
      <c r="N2" s="1">
        <v>1500</v>
      </c>
      <c r="O2" s="1">
        <f>IF(G2&lt;&gt;"",L2/N2,"")</f>
        <v>1.520573333333332</v>
      </c>
      <c r="P2" s="1" t="str">
        <f>IF(G2&lt;&gt;"",IF(L2&gt;0,"盈","亏"),"")</f>
        <v>盈</v>
      </c>
      <c r="Q2" s="1">
        <f>IF(G2&lt;&gt;"",IF(L2&gt;0,ABS(L2)/N2,ABS(L2)/N2),"")</f>
        <v>1.520573333333332</v>
      </c>
      <c r="R2" s="1">
        <f>IF(F2&lt;&gt;"",(I2-K2-N2)/H2,"")</f>
        <v>41.323433333333334</v>
      </c>
      <c r="S2" s="1" t="s">
        <v>96</v>
      </c>
      <c r="T2" s="1" t="s">
        <v>97</v>
      </c>
      <c r="U2" s="1" t="s">
        <v>102</v>
      </c>
    </row>
    <row r="3" spans="1:21" ht="15" x14ac:dyDescent="0.2">
      <c r="A3" s="1" t="s">
        <v>19</v>
      </c>
      <c r="B3" s="14">
        <v>46107</v>
      </c>
      <c r="C3" s="14">
        <v>46111</v>
      </c>
      <c r="D3" s="1">
        <v>690</v>
      </c>
      <c r="E3" s="1" t="s">
        <v>14</v>
      </c>
      <c r="F3" s="1">
        <v>5.8019999999999996</v>
      </c>
      <c r="G3" s="1">
        <v>5.13</v>
      </c>
      <c r="H3" s="1">
        <v>4100</v>
      </c>
      <c r="I3" s="1">
        <f t="shared" si="0"/>
        <v>23788.199999999997</v>
      </c>
      <c r="J3" s="1">
        <f t="shared" si="1"/>
        <v>21033</v>
      </c>
      <c r="K3" s="1">
        <v>7.47</v>
      </c>
      <c r="L3" s="1">
        <f t="shared" ref="L3:L12" si="2">IF(G3&lt;&gt;"",J3-I3-K3,"")</f>
        <v>-2762.6699999999969</v>
      </c>
      <c r="M3" s="11">
        <f t="shared" ref="M3:M12" si="3">IF(G3&lt;&gt;"",L3/I3*100,"")</f>
        <v>-11.61361515373167</v>
      </c>
      <c r="N3" s="1">
        <v>1500</v>
      </c>
      <c r="O3" s="1">
        <f>IF(G3&lt;&gt;"",L3/N3,"")</f>
        <v>-1.841779999999998</v>
      </c>
      <c r="P3" s="1" t="str">
        <f>IF(G3&lt;&gt;"",IF(L3&gt;0,"盈","亏"),"")</f>
        <v>亏</v>
      </c>
      <c r="Q3" s="1">
        <f>IF(G3&lt;&gt;"",IF(L3&gt;0,ABS(L3)/N3,ABS(L3)/N3),"")</f>
        <v>1.841779999999998</v>
      </c>
      <c r="R3" s="1">
        <f>IF(F3&lt;&gt;"",(I3-K3-N3)/H3,"")</f>
        <v>5.4343243902439013</v>
      </c>
      <c r="S3" s="1" t="s">
        <v>15</v>
      </c>
      <c r="T3" s="1" t="s">
        <v>17</v>
      </c>
      <c r="U3" s="1" t="s">
        <v>103</v>
      </c>
    </row>
    <row r="4" spans="1:21" ht="15" x14ac:dyDescent="0.2">
      <c r="A4" s="2" t="s">
        <v>99</v>
      </c>
      <c r="B4" s="16">
        <v>46108</v>
      </c>
      <c r="C4" s="16">
        <v>46115</v>
      </c>
      <c r="D4" s="2">
        <v>1896</v>
      </c>
      <c r="E4" s="2" t="s">
        <v>100</v>
      </c>
      <c r="F4" s="2">
        <v>15.624000000000001</v>
      </c>
      <c r="G4" s="2">
        <v>12.54</v>
      </c>
      <c r="H4" s="2">
        <v>4300</v>
      </c>
      <c r="I4" s="1">
        <f t="shared" si="0"/>
        <v>67183.199999999997</v>
      </c>
      <c r="J4" s="1">
        <f t="shared" si="1"/>
        <v>53921.999999999993</v>
      </c>
      <c r="K4" s="2">
        <v>16.79</v>
      </c>
      <c r="L4" s="1">
        <f t="shared" si="2"/>
        <v>-13277.990000000005</v>
      </c>
      <c r="M4" s="11">
        <f t="shared" si="3"/>
        <v>-19.763854654139735</v>
      </c>
      <c r="N4" s="2">
        <v>2800</v>
      </c>
      <c r="O4" s="1">
        <f t="shared" ref="O4:O11" si="4">IF(G4&lt;&gt;"",L4/N4,"")</f>
        <v>-4.7421392857142877</v>
      </c>
      <c r="P4" s="1" t="str">
        <f t="shared" ref="P4:P12" si="5">IF(G4&lt;&gt;"",IF(L4&gt;0,"盈","亏"),"")</f>
        <v>亏</v>
      </c>
      <c r="Q4" s="1">
        <f t="shared" ref="Q4:Q11" si="6">IF(G4&lt;&gt;"",IF(L4&gt;0,ABS(L4)/N4,ABS(L4)/N4),"")</f>
        <v>4.7421392857142877</v>
      </c>
      <c r="R4" s="1">
        <f>IF(F4&lt;&gt;"",(I4-K4-N4)/H4,"")</f>
        <v>14.968932558139535</v>
      </c>
      <c r="S4" s="2" t="s">
        <v>96</v>
      </c>
      <c r="T4" s="2" t="s">
        <v>101</v>
      </c>
      <c r="U4" s="2" t="s">
        <v>119</v>
      </c>
    </row>
    <row r="5" spans="1:21" ht="15" x14ac:dyDescent="0.2">
      <c r="A5" s="2" t="s">
        <v>104</v>
      </c>
      <c r="B5" s="16">
        <v>46112</v>
      </c>
      <c r="C5" s="16">
        <v>46113</v>
      </c>
      <c r="D5" s="2">
        <v>2675</v>
      </c>
      <c r="E5" s="2" t="s">
        <v>105</v>
      </c>
      <c r="F5" s="2">
        <v>14.978</v>
      </c>
      <c r="G5" s="2">
        <v>14.18</v>
      </c>
      <c r="H5" s="2">
        <v>700</v>
      </c>
      <c r="I5" s="1">
        <f t="shared" si="0"/>
        <v>10484.6</v>
      </c>
      <c r="J5" s="1">
        <f t="shared" si="1"/>
        <v>9926</v>
      </c>
      <c r="K5" s="2">
        <v>5.0999999999999996</v>
      </c>
      <c r="L5" s="1">
        <f t="shared" si="2"/>
        <v>-563.70000000000039</v>
      </c>
      <c r="M5" s="11">
        <f>IF(G5&lt;&gt;"",L5/I5*100,"")</f>
        <v>-5.3764568986895096</v>
      </c>
      <c r="N5" s="2">
        <v>1500</v>
      </c>
      <c r="O5" s="1">
        <f t="shared" si="4"/>
        <v>-0.37580000000000024</v>
      </c>
      <c r="P5" s="1" t="str">
        <f t="shared" si="5"/>
        <v>亏</v>
      </c>
      <c r="Q5" s="1">
        <f t="shared" si="6"/>
        <v>0.37580000000000024</v>
      </c>
      <c r="R5" s="1">
        <f t="shared" ref="R5:R12" si="7">IF(F5&lt;&gt;"",(I5-K5-N5)/H5,"")</f>
        <v>12.827857142857143</v>
      </c>
      <c r="S5" s="2" t="s">
        <v>106</v>
      </c>
      <c r="T5" s="2" t="s">
        <v>107</v>
      </c>
      <c r="U5" s="2" t="s">
        <v>112</v>
      </c>
    </row>
    <row r="6" spans="1:21" ht="15" x14ac:dyDescent="0.2">
      <c r="A6" s="2" t="s">
        <v>104</v>
      </c>
      <c r="B6" s="16">
        <v>46112</v>
      </c>
      <c r="C6" s="16">
        <v>46113</v>
      </c>
      <c r="D6" s="2">
        <v>2202</v>
      </c>
      <c r="E6" s="2" t="s">
        <v>108</v>
      </c>
      <c r="F6" s="2">
        <v>27.939</v>
      </c>
      <c r="G6" s="2">
        <v>25.35</v>
      </c>
      <c r="H6" s="2">
        <v>1400</v>
      </c>
      <c r="I6" s="2">
        <f t="shared" si="0"/>
        <v>39114.6</v>
      </c>
      <c r="J6" s="2">
        <f t="shared" si="1"/>
        <v>35490</v>
      </c>
      <c r="K6" s="2">
        <v>12.3</v>
      </c>
      <c r="L6" s="1">
        <f t="shared" si="2"/>
        <v>-3636.8999999999987</v>
      </c>
      <c r="M6" s="11">
        <f t="shared" si="3"/>
        <v>-9.2980626160052751</v>
      </c>
      <c r="N6" s="2">
        <v>1500</v>
      </c>
      <c r="O6" s="1">
        <f t="shared" si="4"/>
        <v>-2.424599999999999</v>
      </c>
      <c r="P6" s="1" t="str">
        <f t="shared" si="5"/>
        <v>亏</v>
      </c>
      <c r="Q6" s="1">
        <f t="shared" si="6"/>
        <v>2.424599999999999</v>
      </c>
      <c r="R6" s="1">
        <f t="shared" si="7"/>
        <v>26.858785714285712</v>
      </c>
      <c r="S6" s="2" t="s">
        <v>106</v>
      </c>
      <c r="T6" s="2" t="s">
        <v>109</v>
      </c>
      <c r="U6" s="2" t="s">
        <v>114</v>
      </c>
    </row>
    <row r="7" spans="1:21" ht="15" x14ac:dyDescent="0.2">
      <c r="A7" s="2" t="s">
        <v>110</v>
      </c>
      <c r="B7" s="16">
        <v>46113</v>
      </c>
      <c r="C7" s="16">
        <v>46122</v>
      </c>
      <c r="D7" s="2">
        <v>603881</v>
      </c>
      <c r="E7" s="2" t="s">
        <v>111</v>
      </c>
      <c r="F7" s="2">
        <v>37.996000000000002</v>
      </c>
      <c r="G7" s="2">
        <v>39.409999999999997</v>
      </c>
      <c r="H7" s="2">
        <v>1100</v>
      </c>
      <c r="I7" s="2">
        <f t="shared" si="0"/>
        <v>41795.600000000006</v>
      </c>
      <c r="J7" s="2">
        <f t="shared" si="1"/>
        <v>43350.999999999993</v>
      </c>
      <c r="K7" s="2">
        <v>55.43</v>
      </c>
      <c r="L7" s="2">
        <f t="shared" si="2"/>
        <v>1499.9699999999868</v>
      </c>
      <c r="M7" s="11">
        <f t="shared" si="3"/>
        <v>3.5888227468919855</v>
      </c>
      <c r="N7" s="2">
        <v>2000</v>
      </c>
      <c r="O7" s="1">
        <f t="shared" si="4"/>
        <v>0.74998499999999346</v>
      </c>
      <c r="P7" s="2" t="str">
        <f t="shared" si="5"/>
        <v>盈</v>
      </c>
      <c r="Q7" s="2">
        <f t="shared" si="6"/>
        <v>0.74998499999999346</v>
      </c>
      <c r="R7" s="2">
        <f t="shared" si="7"/>
        <v>36.127427272727274</v>
      </c>
      <c r="S7" s="2" t="s">
        <v>96</v>
      </c>
      <c r="T7" s="2" t="s">
        <v>113</v>
      </c>
    </row>
    <row r="8" spans="1:21" x14ac:dyDescent="0.2">
      <c r="A8" s="2" t="s">
        <v>99</v>
      </c>
      <c r="B8" s="16">
        <v>46115</v>
      </c>
      <c r="C8" s="16">
        <v>46127</v>
      </c>
      <c r="D8" s="2">
        <v>815</v>
      </c>
      <c r="E8" s="2" t="s">
        <v>116</v>
      </c>
      <c r="F8" s="2">
        <v>19.638999999999999</v>
      </c>
      <c r="G8" s="2">
        <v>20.75</v>
      </c>
      <c r="H8" s="2">
        <v>2700</v>
      </c>
      <c r="I8" s="2">
        <f t="shared" si="0"/>
        <v>53025.299999999996</v>
      </c>
      <c r="J8" s="2">
        <f t="shared" si="1"/>
        <v>56025</v>
      </c>
      <c r="K8" s="2">
        <v>91.24</v>
      </c>
      <c r="L8" s="2">
        <f t="shared" si="2"/>
        <v>2908.4600000000046</v>
      </c>
      <c r="M8" s="2">
        <f t="shared" si="3"/>
        <v>5.4850420459667451</v>
      </c>
      <c r="N8" s="2">
        <v>2000</v>
      </c>
      <c r="O8" s="2">
        <f t="shared" si="4"/>
        <v>1.4542300000000024</v>
      </c>
      <c r="P8" s="2" t="str">
        <f t="shared" si="5"/>
        <v>盈</v>
      </c>
      <c r="Q8" s="2">
        <f t="shared" si="6"/>
        <v>1.4542300000000024</v>
      </c>
      <c r="R8" s="2">
        <f t="shared" si="7"/>
        <v>18.864466666666665</v>
      </c>
      <c r="S8" s="2" t="s">
        <v>117</v>
      </c>
      <c r="T8" s="2" t="s">
        <v>118</v>
      </c>
      <c r="U8" s="2" t="s">
        <v>126</v>
      </c>
    </row>
    <row r="9" spans="1:21" x14ac:dyDescent="0.2">
      <c r="A9" s="2" t="s">
        <v>120</v>
      </c>
      <c r="B9" s="16">
        <v>46122</v>
      </c>
      <c r="C9" s="16">
        <v>46128</v>
      </c>
      <c r="D9" s="2">
        <v>600869</v>
      </c>
      <c r="E9" s="2" t="s">
        <v>121</v>
      </c>
      <c r="F9" s="2">
        <v>15.871</v>
      </c>
      <c r="G9" s="2">
        <v>14.07</v>
      </c>
      <c r="H9" s="2">
        <v>2900</v>
      </c>
      <c r="I9" s="2">
        <f t="shared" si="0"/>
        <v>46025.9</v>
      </c>
      <c r="J9" s="2">
        <f t="shared" si="1"/>
        <v>40803</v>
      </c>
      <c r="K9" s="2">
        <v>14.46</v>
      </c>
      <c r="L9" s="2">
        <f t="shared" si="2"/>
        <v>-5237.3600000000015</v>
      </c>
      <c r="M9" s="2">
        <f t="shared" si="3"/>
        <v>-11.379158256546861</v>
      </c>
      <c r="N9" s="2">
        <v>2000</v>
      </c>
      <c r="O9" s="2">
        <f t="shared" si="4"/>
        <v>-2.6186800000000008</v>
      </c>
      <c r="P9" s="2" t="str">
        <f t="shared" si="5"/>
        <v>亏</v>
      </c>
      <c r="Q9" s="2">
        <f t="shared" si="6"/>
        <v>2.6186800000000008</v>
      </c>
      <c r="R9" s="2">
        <f t="shared" si="7"/>
        <v>15.176358620689657</v>
      </c>
      <c r="S9" s="2" t="s">
        <v>122</v>
      </c>
      <c r="T9" s="2" t="s">
        <v>123</v>
      </c>
      <c r="U9" s="2" t="s">
        <v>125</v>
      </c>
    </row>
    <row r="10" spans="1:21" x14ac:dyDescent="0.2">
      <c r="A10" s="2" t="s">
        <v>124</v>
      </c>
      <c r="B10" s="16">
        <v>46127</v>
      </c>
      <c r="C10" s="16">
        <v>46129</v>
      </c>
      <c r="D10" s="2">
        <v>2046</v>
      </c>
      <c r="E10" s="2" t="s">
        <v>127</v>
      </c>
      <c r="F10" s="2">
        <v>49.512</v>
      </c>
      <c r="G10" s="2">
        <v>50.05</v>
      </c>
      <c r="H10" s="2">
        <v>1000</v>
      </c>
      <c r="I10" s="2">
        <f t="shared" si="0"/>
        <v>49512</v>
      </c>
      <c r="J10" s="2">
        <f t="shared" si="1"/>
        <v>50050</v>
      </c>
      <c r="K10" s="2">
        <v>12.38</v>
      </c>
      <c r="L10" s="2">
        <f t="shared" si="2"/>
        <v>525.62</v>
      </c>
      <c r="M10" s="2">
        <f t="shared" si="3"/>
        <v>1.061601227985135</v>
      </c>
      <c r="N10" s="2">
        <v>2400</v>
      </c>
      <c r="O10" s="2">
        <f t="shared" si="4"/>
        <v>0.21900833333333333</v>
      </c>
      <c r="P10" s="2" t="str">
        <f t="shared" si="5"/>
        <v>盈</v>
      </c>
      <c r="Q10" s="2">
        <f t="shared" si="6"/>
        <v>0.21900833333333333</v>
      </c>
      <c r="R10" s="2">
        <f t="shared" si="7"/>
        <v>47.099620000000002</v>
      </c>
      <c r="S10" s="2" t="s">
        <v>128</v>
      </c>
      <c r="T10" s="2" t="s">
        <v>133</v>
      </c>
      <c r="U10" s="2" t="s">
        <v>135</v>
      </c>
    </row>
    <row r="11" spans="1:21" x14ac:dyDescent="0.2">
      <c r="A11" s="2" t="s">
        <v>131</v>
      </c>
      <c r="B11" s="16">
        <v>46128</v>
      </c>
      <c r="C11" s="16">
        <v>46134</v>
      </c>
      <c r="D11" s="2">
        <v>600602</v>
      </c>
      <c r="E11" s="2" t="s">
        <v>132</v>
      </c>
      <c r="F11" s="2">
        <v>24.204000000000001</v>
      </c>
      <c r="G11" s="2">
        <v>22.76</v>
      </c>
      <c r="H11" s="2">
        <v>1700</v>
      </c>
      <c r="I11" s="2">
        <f t="shared" si="0"/>
        <v>41146.800000000003</v>
      </c>
      <c r="J11" s="2">
        <f t="shared" si="1"/>
        <v>38692</v>
      </c>
      <c r="L11" s="2">
        <f t="shared" si="2"/>
        <v>-2454.8000000000029</v>
      </c>
      <c r="M11" s="2">
        <f t="shared" si="3"/>
        <v>-5.9659560403239196</v>
      </c>
      <c r="N11" s="2">
        <v>2000</v>
      </c>
      <c r="O11" s="2">
        <f t="shared" si="4"/>
        <v>-1.2274000000000014</v>
      </c>
      <c r="P11" s="2" t="str">
        <f t="shared" si="5"/>
        <v>亏</v>
      </c>
      <c r="Q11" s="2">
        <f t="shared" si="6"/>
        <v>1.2274000000000014</v>
      </c>
      <c r="R11" s="2">
        <f t="shared" si="7"/>
        <v>23.027529411764707</v>
      </c>
      <c r="S11" s="2" t="s">
        <v>137</v>
      </c>
      <c r="T11" s="2" t="s">
        <v>139</v>
      </c>
    </row>
    <row r="12" spans="1:21" x14ac:dyDescent="0.2">
      <c r="A12" s="2" t="s">
        <v>134</v>
      </c>
      <c r="B12" s="16">
        <v>46132</v>
      </c>
      <c r="D12" s="2">
        <v>600552</v>
      </c>
      <c r="E12" s="2" t="s">
        <v>136</v>
      </c>
      <c r="F12" s="2">
        <v>15.378</v>
      </c>
      <c r="H12" s="2">
        <v>2500</v>
      </c>
      <c r="I12" s="2">
        <f t="shared" si="0"/>
        <v>38445</v>
      </c>
      <c r="L12" s="2" t="str">
        <f t="shared" si="2"/>
        <v/>
      </c>
      <c r="M12" s="2" t="str">
        <f t="shared" si="3"/>
        <v/>
      </c>
      <c r="N12" s="2">
        <v>2400</v>
      </c>
      <c r="P12" s="2" t="str">
        <f t="shared" si="5"/>
        <v/>
      </c>
      <c r="R12" s="2">
        <f t="shared" si="7"/>
        <v>14.417999999999999</v>
      </c>
      <c r="S12" s="2" t="s">
        <v>137</v>
      </c>
      <c r="T12" s="2" t="s">
        <v>138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36D1-7469-4FCD-B06B-763F8BB665D8}">
  <dimension ref="A1:C18"/>
  <sheetViews>
    <sheetView workbookViewId="0">
      <selection activeCell="A15" sqref="A15"/>
    </sheetView>
  </sheetViews>
  <sheetFormatPr defaultRowHeight="14.25" x14ac:dyDescent="0.2"/>
  <cols>
    <col min="1" max="1" width="38.5" style="2" customWidth="1"/>
    <col min="2" max="2" width="31.25" style="2" customWidth="1"/>
    <col min="3" max="3" width="66.25" style="2" customWidth="1"/>
    <col min="4" max="16384" width="9" style="2"/>
  </cols>
  <sheetData>
    <row r="1" spans="1:3" ht="15" x14ac:dyDescent="0.2">
      <c r="B1" s="2" t="s">
        <v>20</v>
      </c>
      <c r="C1" s="3" t="s">
        <v>38</v>
      </c>
    </row>
    <row r="2" spans="1:3" ht="15" x14ac:dyDescent="0.2">
      <c r="A2" s="3">
        <f>COUNTIF(交易记录!P:P,"盈")+COUNTIF(交易记录!P:P,"亏")</f>
        <v>10</v>
      </c>
      <c r="B2" s="3" t="s">
        <v>21</v>
      </c>
      <c r="C2" s="3" t="s">
        <v>39</v>
      </c>
    </row>
    <row r="3" spans="1:3" ht="15.75" thickBot="1" x14ac:dyDescent="0.25">
      <c r="A3" s="3">
        <f>COUNTIF(交易记录!P:P,"盈")</f>
        <v>4</v>
      </c>
      <c r="B3" s="3" t="s">
        <v>22</v>
      </c>
      <c r="C3" s="3" t="s">
        <v>40</v>
      </c>
    </row>
    <row r="4" spans="1:3" ht="15.75" thickBot="1" x14ac:dyDescent="0.25">
      <c r="A4" s="6">
        <f>COUNTIF(交易记录!P:P,"亏")</f>
        <v>6</v>
      </c>
      <c r="B4" s="3" t="s">
        <v>23</v>
      </c>
      <c r="C4" s="3" t="s">
        <v>41</v>
      </c>
    </row>
    <row r="5" spans="1:3" ht="15.75" thickBot="1" x14ac:dyDescent="0.25">
      <c r="A5" s="5">
        <f>IF(A2&gt;0,A3/A2*100,"0")</f>
        <v>40</v>
      </c>
      <c r="B5" s="3" t="s">
        <v>24</v>
      </c>
      <c r="C5" s="3" t="s">
        <v>42</v>
      </c>
    </row>
    <row r="6" spans="1:3" ht="15.75" thickBot="1" x14ac:dyDescent="0.25">
      <c r="A6" s="6">
        <f>SUM(交易记录!L:L)</f>
        <v>-20718.51000000002</v>
      </c>
      <c r="B6" s="3" t="s">
        <v>25</v>
      </c>
      <c r="C6" s="3" t="s">
        <v>43</v>
      </c>
    </row>
    <row r="7" spans="1:3" ht="15" x14ac:dyDescent="0.2">
      <c r="A7" s="3">
        <f>IF(A2&gt;0,A6/A2,"0")</f>
        <v>-2071.8510000000019</v>
      </c>
      <c r="B7" s="3" t="s">
        <v>26</v>
      </c>
      <c r="C7" s="4" t="s">
        <v>44</v>
      </c>
    </row>
    <row r="8" spans="1:3" ht="15.75" thickBot="1" x14ac:dyDescent="0.25">
      <c r="A8" s="3">
        <f>IF(A3&gt;0,AVERAGEIF(交易记录!O:O,"&gt;0",交易记录!O:O),"0")</f>
        <v>0.98594916666666543</v>
      </c>
      <c r="B8" s="3" t="s">
        <v>27</v>
      </c>
      <c r="C8" s="3" t="s">
        <v>45</v>
      </c>
    </row>
    <row r="9" spans="1:3" ht="15.75" thickBot="1" x14ac:dyDescent="0.25">
      <c r="A9" s="3">
        <f>IF(A4&gt;0,ABS(AVERAGEIF(交易记录!O:O,"&lt;0",交易记录!O:O)),"0")</f>
        <v>2.2050665476190479</v>
      </c>
      <c r="B9" s="4" t="s">
        <v>28</v>
      </c>
      <c r="C9" s="5" t="s">
        <v>46</v>
      </c>
    </row>
    <row r="10" spans="1:3" ht="16.5" thickBot="1" x14ac:dyDescent="0.3">
      <c r="A10" s="3">
        <f>IF(A9&gt;0,A8/A9,"0")</f>
        <v>0.44712898471534029</v>
      </c>
      <c r="B10" s="4" t="s">
        <v>29</v>
      </c>
      <c r="C10" s="4" t="s">
        <v>47</v>
      </c>
    </row>
    <row r="11" spans="1:3" ht="15.75" thickBot="1" x14ac:dyDescent="0.25">
      <c r="A11" s="2">
        <f>IF(A2&gt;0,(A5/100)*A8 - (1-A5/100)*A9,"0")</f>
        <v>-0.92866026190476259</v>
      </c>
      <c r="B11" s="5" t="s">
        <v>30</v>
      </c>
      <c r="C11" s="3" t="s">
        <v>48</v>
      </c>
    </row>
    <row r="12" spans="1:3" ht="15" x14ac:dyDescent="0.2">
      <c r="A12" s="3">
        <f>IF(A2&gt;0,A11*AVERAGEIF(交易记录!N:N,"&gt;0",交易记录!N:N),"0")</f>
        <v>-1823.5510597402613</v>
      </c>
      <c r="B12" s="3" t="s">
        <v>31</v>
      </c>
      <c r="C12" s="3" t="s">
        <v>49</v>
      </c>
    </row>
    <row r="13" spans="1:3" ht="15" x14ac:dyDescent="0.2">
      <c r="A13" s="3">
        <f>SUM(交易记录!O:O)</f>
        <v>-9.2866026190476259</v>
      </c>
      <c r="B13" s="3" t="s">
        <v>32</v>
      </c>
      <c r="C13" s="3" t="s">
        <v>50</v>
      </c>
    </row>
    <row r="14" spans="1:3" ht="15" x14ac:dyDescent="0.2">
      <c r="A14" s="3">
        <f t="array" ref="A14">MAX(FREQUENCY(IF(交易记录!P:P="盈",ROW(交易记录!P:P)),IF(交易记录!P:P&lt;&gt;"盈",ROW(交易记录!P:P))))</f>
        <v>2</v>
      </c>
      <c r="B14" s="3" t="s">
        <v>33</v>
      </c>
      <c r="C14" s="3" t="s">
        <v>51</v>
      </c>
    </row>
    <row r="15" spans="1:3" ht="15" x14ac:dyDescent="0.2">
      <c r="A15" s="3">
        <f t="array" ref="A15">MAX(FREQUENCY(IF(交易记录!P:P="亏",ROW(交易记录!P:P)),IF(交易记录!P:P&lt;&gt;"亏",ROW(交易记录!P:P))))</f>
        <v>4</v>
      </c>
      <c r="B15" s="3" t="s">
        <v>34</v>
      </c>
      <c r="C15" s="3" t="s">
        <v>52</v>
      </c>
    </row>
    <row r="16" spans="1:3" ht="15.75" thickBot="1" x14ac:dyDescent="0.25">
      <c r="B16" s="3" t="s">
        <v>35</v>
      </c>
      <c r="C16" s="3" t="s">
        <v>53</v>
      </c>
    </row>
    <row r="17" spans="1:3" ht="15.75" thickBot="1" x14ac:dyDescent="0.25">
      <c r="A17" s="5">
        <f>COUNTA(交易记录!A:A)-1-A2</f>
        <v>1</v>
      </c>
      <c r="B17" s="5" t="s">
        <v>36</v>
      </c>
      <c r="C17" s="4" t="s">
        <v>54</v>
      </c>
    </row>
    <row r="18" spans="1:3" ht="15" x14ac:dyDescent="0.2">
      <c r="A18" s="3">
        <f>SUMIF(交易记录!G:G,"",交易记录!I:I)</f>
        <v>38445</v>
      </c>
      <c r="B18" s="3" t="s">
        <v>37</v>
      </c>
      <c r="C18" s="3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714E-F2BC-4665-BF6D-241F20928B65}">
  <dimension ref="A1:H14"/>
  <sheetViews>
    <sheetView workbookViewId="0">
      <selection activeCell="D27" sqref="D27"/>
    </sheetView>
  </sheetViews>
  <sheetFormatPr defaultRowHeight="14.25" x14ac:dyDescent="0.2"/>
  <cols>
    <col min="1" max="1" width="14.125" customWidth="1"/>
    <col min="2" max="2" width="36.5" customWidth="1"/>
    <col min="3" max="3" width="21.375" customWidth="1"/>
    <col min="4" max="4" width="18.5" customWidth="1"/>
    <col min="5" max="5" width="24.625" customWidth="1"/>
    <col min="6" max="6" width="19.5" customWidth="1"/>
    <col min="7" max="7" width="21.75" customWidth="1"/>
    <col min="8" max="8" width="15.25" customWidth="1"/>
    <col min="9" max="9" width="26.5" customWidth="1"/>
  </cols>
  <sheetData>
    <row r="1" spans="1:8" ht="30.75" thickBot="1" x14ac:dyDescent="0.25">
      <c r="A1" s="7" t="s">
        <v>65</v>
      </c>
      <c r="B1" s="11" t="s">
        <v>66</v>
      </c>
      <c r="C1" s="12" t="s">
        <v>67</v>
      </c>
      <c r="D1" s="13" t="s">
        <v>68</v>
      </c>
      <c r="E1" s="11" t="s">
        <v>69</v>
      </c>
      <c r="F1" t="s">
        <v>70</v>
      </c>
      <c r="G1" s="11" t="s">
        <v>71</v>
      </c>
      <c r="H1" s="11" t="s">
        <v>72</v>
      </c>
    </row>
    <row r="2" spans="1:8" x14ac:dyDescent="0.2">
      <c r="A2" s="9" t="s">
        <v>56</v>
      </c>
      <c r="B2" s="9" t="s">
        <v>57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</row>
    <row r="3" spans="1:8" ht="15" x14ac:dyDescent="0.2">
      <c r="A3" s="7">
        <v>1</v>
      </c>
      <c r="B3" s="11" t="e">
        <f>SUMPRODUCT((MONTH(交易记录!B:B)=A3)*(YEAR(交易记录!B:B)=$A$1)*(交易记录!P:P&lt;&gt;""))</f>
        <v>#VALUE!</v>
      </c>
      <c r="C3" s="11" t="e">
        <f t="array" ref="C3">SUMPRODUCT((MONTH(交易记录!B:B)=A3)*(YEAR(交易记录!B:B)=$A$1)*(交易记录!P:P="盈"))</f>
        <v>#VALUE!</v>
      </c>
      <c r="D3" s="11" t="e">
        <f>IF(B3&gt;0,C3/B3*100,"0")</f>
        <v>#VALUE!</v>
      </c>
      <c r="E3" s="11" t="s">
        <v>64</v>
      </c>
      <c r="F3" s="10" t="e">
        <f>IF(E3&gt;0,E3/50000*100,"0")</f>
        <v>#VALUE!</v>
      </c>
      <c r="G3" s="11">
        <f>SUM($E$3:E3)</f>
        <v>0</v>
      </c>
      <c r="H3" s="11" t="str">
        <f>IF(G3&gt;0,G3/50000*100,"0")</f>
        <v>0</v>
      </c>
    </row>
    <row r="4" spans="1:8" ht="15" x14ac:dyDescent="0.2">
      <c r="A4" s="7">
        <v>2</v>
      </c>
      <c r="B4" s="11" t="e">
        <f>SUMPRODUCT((MONTH(交易记录!B:B)=A4)*(YEAR(交易记录!B:B)=$A$1)*(交易记录!P:P&lt;&gt;""))</f>
        <v>#VALUE!</v>
      </c>
      <c r="C4" s="11" t="e">
        <f t="array" ref="C4">SUMPRODUCT((MONTH(交易记录!B:B)=A4)*(YEAR(交易记录!B:B)=$A$1)*(交易记录!P:P="盈"))</f>
        <v>#VALUE!</v>
      </c>
      <c r="D4" s="11" t="e">
        <f t="shared" ref="D4:D14" si="0">IF(B4&gt;0,C4/B4*100,"0")</f>
        <v>#VALUE!</v>
      </c>
      <c r="E4" s="11" t="s">
        <v>73</v>
      </c>
      <c r="F4" s="10" t="e">
        <f t="shared" ref="F4:F14" si="1">IF(E4&gt;0,E4/50000*100,"0")</f>
        <v>#VALUE!</v>
      </c>
      <c r="G4" s="11">
        <f>SUM($E$3:E4)</f>
        <v>0</v>
      </c>
      <c r="H4" s="11" t="str">
        <f t="shared" ref="H4:H14" si="2">IF(G4&gt;0,G4/50000*100,"0")</f>
        <v>0</v>
      </c>
    </row>
    <row r="5" spans="1:8" ht="15" x14ac:dyDescent="0.2">
      <c r="A5" s="7">
        <v>3</v>
      </c>
      <c r="B5" s="11" t="e">
        <f>SUMPRODUCT((MONTH(交易记录!B:B)=A5)*(YEAR(交易记录!B:B)=$A$1)*(交易记录!P:P&lt;&gt;""))</f>
        <v>#VALUE!</v>
      </c>
      <c r="C5" s="11" t="e">
        <f t="array" ref="C5">SUMPRODUCT((MONTH(交易记录!B:B)=A5)*(YEAR(交易记录!B:B)=$A$1)*(交易记录!P:P="盈"))</f>
        <v>#VALUE!</v>
      </c>
      <c r="D5" s="11" t="e">
        <f t="shared" si="0"/>
        <v>#VALUE!</v>
      </c>
      <c r="E5" s="11" t="s">
        <v>74</v>
      </c>
      <c r="F5" s="10" t="e">
        <f t="shared" si="1"/>
        <v>#VALUE!</v>
      </c>
      <c r="G5" s="11">
        <f>SUM($E$3:E5)</f>
        <v>0</v>
      </c>
      <c r="H5" s="11" t="str">
        <f t="shared" si="2"/>
        <v>0</v>
      </c>
    </row>
    <row r="6" spans="1:8" ht="15" x14ac:dyDescent="0.2">
      <c r="A6" s="7">
        <v>4</v>
      </c>
      <c r="B6" s="11" t="e">
        <f>SUMPRODUCT((MONTH(交易记录!B:B)=A6)*(YEAR(交易记录!B:B)=$A$1)*(交易记录!P:P&lt;&gt;""))</f>
        <v>#VALUE!</v>
      </c>
      <c r="C6" s="11" t="e">
        <f t="array" ref="C6">SUMPRODUCT((MONTH(交易记录!B:B)=A6)*(YEAR(交易记录!B:B)=$A$1)*(交易记录!P:P="盈"))</f>
        <v>#VALUE!</v>
      </c>
      <c r="D6" s="11" t="e">
        <f t="shared" si="0"/>
        <v>#VALUE!</v>
      </c>
      <c r="E6" s="11" t="s">
        <v>75</v>
      </c>
      <c r="F6" s="10" t="e">
        <f t="shared" si="1"/>
        <v>#VALUE!</v>
      </c>
      <c r="G6" s="11">
        <f>SUM($E$3:E6)</f>
        <v>0</v>
      </c>
      <c r="H6" s="11" t="str">
        <f t="shared" si="2"/>
        <v>0</v>
      </c>
    </row>
    <row r="7" spans="1:8" ht="15" x14ac:dyDescent="0.2">
      <c r="A7" s="7">
        <v>5</v>
      </c>
      <c r="B7" s="11" t="e">
        <f>SUMPRODUCT((MONTH(交易记录!B:B)=A7)*(YEAR(交易记录!B:B)=$A$1)*(交易记录!P:P&lt;&gt;""))</f>
        <v>#VALUE!</v>
      </c>
      <c r="C7" s="11" t="e">
        <f t="array" ref="C7">SUMPRODUCT((MONTH(交易记录!B:B)=A7)*(YEAR(交易记录!B:B)=$A$1)*(交易记录!P:P="盈"))</f>
        <v>#VALUE!</v>
      </c>
      <c r="D7" s="11" t="e">
        <f t="shared" si="0"/>
        <v>#VALUE!</v>
      </c>
      <c r="E7" s="11" t="s">
        <v>76</v>
      </c>
      <c r="F7" s="10" t="e">
        <f t="shared" si="1"/>
        <v>#VALUE!</v>
      </c>
      <c r="G7" s="11">
        <f>SUM($E$3:E7)</f>
        <v>0</v>
      </c>
      <c r="H7" s="11" t="str">
        <f t="shared" si="2"/>
        <v>0</v>
      </c>
    </row>
    <row r="8" spans="1:8" ht="15" x14ac:dyDescent="0.2">
      <c r="A8" s="7">
        <v>6</v>
      </c>
      <c r="B8" s="11" t="e">
        <f>SUMPRODUCT((MONTH(交易记录!B:B)=A8)*(YEAR(交易记录!B:B)=$A$1)*(交易记录!P:P&lt;&gt;""))</f>
        <v>#VALUE!</v>
      </c>
      <c r="C8" s="11" t="e">
        <f t="array" ref="C8">SUMPRODUCT((MONTH(交易记录!B:B)=A8)*(YEAR(交易记录!B:B)=$A$1)*(交易记录!P:P="盈"))</f>
        <v>#VALUE!</v>
      </c>
      <c r="D8" s="11" t="e">
        <f t="shared" si="0"/>
        <v>#VALUE!</v>
      </c>
      <c r="E8" s="11" t="s">
        <v>77</v>
      </c>
      <c r="F8" s="10" t="e">
        <f t="shared" si="1"/>
        <v>#VALUE!</v>
      </c>
      <c r="G8" s="11">
        <f>SUM($E$3:E8)</f>
        <v>0</v>
      </c>
      <c r="H8" s="11" t="str">
        <f t="shared" si="2"/>
        <v>0</v>
      </c>
    </row>
    <row r="9" spans="1:8" ht="15" x14ac:dyDescent="0.2">
      <c r="A9" s="7">
        <v>7</v>
      </c>
      <c r="B9" s="11" t="e">
        <f>SUMPRODUCT((MONTH(交易记录!B:B)=A9)*(YEAR(交易记录!B:B)=$A$1)*(交易记录!P:P&lt;&gt;""))</f>
        <v>#VALUE!</v>
      </c>
      <c r="C9" s="11" t="e">
        <f t="array" ref="C9">SUMPRODUCT((MONTH(交易记录!B:B)=A9)*(YEAR(交易记录!B:B)=$A$1)*(交易记录!P:P="盈"))</f>
        <v>#VALUE!</v>
      </c>
      <c r="D9" s="11" t="e">
        <f t="shared" si="0"/>
        <v>#VALUE!</v>
      </c>
      <c r="E9" s="11" t="s">
        <v>78</v>
      </c>
      <c r="F9" s="10" t="e">
        <f t="shared" si="1"/>
        <v>#VALUE!</v>
      </c>
      <c r="G9" s="11">
        <f>SUM($E$3:E9)</f>
        <v>0</v>
      </c>
      <c r="H9" s="11" t="str">
        <f t="shared" si="2"/>
        <v>0</v>
      </c>
    </row>
    <row r="10" spans="1:8" ht="15" x14ac:dyDescent="0.2">
      <c r="A10" s="7">
        <v>8</v>
      </c>
      <c r="B10" s="11" t="e">
        <f>SUMPRODUCT((MONTH(交易记录!B:B)=A10)*(YEAR(交易记录!B:B)=$A$1)*(交易记录!P:P&lt;&gt;""))</f>
        <v>#VALUE!</v>
      </c>
      <c r="C10" s="11" t="e">
        <f t="array" ref="C10">SUMPRODUCT((MONTH(交易记录!B:B)=A10)*(YEAR(交易记录!B:B)=$A$1)*(交易记录!P:P="盈"))</f>
        <v>#VALUE!</v>
      </c>
      <c r="D10" s="11" t="e">
        <f t="shared" si="0"/>
        <v>#VALUE!</v>
      </c>
      <c r="E10" s="11" t="s">
        <v>79</v>
      </c>
      <c r="F10" s="10" t="e">
        <f t="shared" si="1"/>
        <v>#VALUE!</v>
      </c>
      <c r="G10" s="11">
        <f>SUM($E$3:E10)</f>
        <v>0</v>
      </c>
      <c r="H10" s="11" t="str">
        <f t="shared" si="2"/>
        <v>0</v>
      </c>
    </row>
    <row r="11" spans="1:8" ht="15" x14ac:dyDescent="0.2">
      <c r="A11" s="7">
        <v>9</v>
      </c>
      <c r="B11" s="11" t="e">
        <f>SUMPRODUCT((MONTH(交易记录!B:B)=A11)*(YEAR(交易记录!B:B)=$A$1)*(交易记录!P:P&lt;&gt;""))</f>
        <v>#VALUE!</v>
      </c>
      <c r="C11" s="11" t="e">
        <f t="array" ref="C11">SUMPRODUCT((MONTH(交易记录!B:B)=A11)*(YEAR(交易记录!B:B)=$A$1)*(交易记录!P:P="盈"))</f>
        <v>#VALUE!</v>
      </c>
      <c r="D11" s="11" t="e">
        <f t="shared" si="0"/>
        <v>#VALUE!</v>
      </c>
      <c r="E11" s="11" t="s">
        <v>80</v>
      </c>
      <c r="F11" s="10" t="e">
        <f t="shared" si="1"/>
        <v>#VALUE!</v>
      </c>
      <c r="G11" s="11">
        <f>SUM($E$3:E11)</f>
        <v>0</v>
      </c>
      <c r="H11" s="11" t="str">
        <f t="shared" si="2"/>
        <v>0</v>
      </c>
    </row>
    <row r="12" spans="1:8" ht="15" x14ac:dyDescent="0.2">
      <c r="A12" s="7">
        <v>10</v>
      </c>
      <c r="B12" s="11" t="e">
        <f>SUMPRODUCT((MONTH(交易记录!B:B)=A12)*(YEAR(交易记录!B:B)=$A$1)*(交易记录!P:P&lt;&gt;""))</f>
        <v>#VALUE!</v>
      </c>
      <c r="C12" s="11" t="e">
        <f t="array" ref="C12">SUMPRODUCT((MONTH(交易记录!B:B)=A12)*(YEAR(交易记录!B:B)=$A$1)*(交易记录!P:P="盈"))</f>
        <v>#VALUE!</v>
      </c>
      <c r="D12" s="11" t="e">
        <f t="shared" si="0"/>
        <v>#VALUE!</v>
      </c>
      <c r="E12" s="11" t="s">
        <v>81</v>
      </c>
      <c r="F12" s="10" t="e">
        <f t="shared" si="1"/>
        <v>#VALUE!</v>
      </c>
      <c r="G12" s="11">
        <f>SUM($E$3:E12)</f>
        <v>0</v>
      </c>
      <c r="H12" s="11" t="str">
        <f t="shared" si="2"/>
        <v>0</v>
      </c>
    </row>
    <row r="13" spans="1:8" ht="15" x14ac:dyDescent="0.2">
      <c r="A13" s="7">
        <v>11</v>
      </c>
      <c r="B13" s="11" t="e">
        <f>SUMPRODUCT((MONTH(交易记录!B:B)=A13)*(YEAR(交易记录!B:B)=$A$1)*(交易记录!P:P&lt;&gt;""))</f>
        <v>#VALUE!</v>
      </c>
      <c r="C13" s="11" t="e">
        <f t="array" ref="C13">SUMPRODUCT((MONTH(交易记录!B:B)=A13)*(YEAR(交易记录!B:B)=$A$1)*(交易记录!P:P="盈"))</f>
        <v>#VALUE!</v>
      </c>
      <c r="D13" s="11" t="e">
        <f t="shared" si="0"/>
        <v>#VALUE!</v>
      </c>
      <c r="E13" s="11" t="s">
        <v>82</v>
      </c>
      <c r="F13" s="10" t="e">
        <f t="shared" si="1"/>
        <v>#VALUE!</v>
      </c>
      <c r="G13" s="11">
        <f>SUM($E$3:E13)</f>
        <v>0</v>
      </c>
      <c r="H13" s="11" t="str">
        <f t="shared" si="2"/>
        <v>0</v>
      </c>
    </row>
    <row r="14" spans="1:8" ht="15" x14ac:dyDescent="0.2">
      <c r="A14" s="7">
        <v>12</v>
      </c>
      <c r="B14" s="11" t="e">
        <f>SUMPRODUCT((MONTH(交易记录!B:B)=A14)*(YEAR(交易记录!B:B)=$A$1)*(交易记录!P:P&lt;&gt;""))</f>
        <v>#VALUE!</v>
      </c>
      <c r="C14" s="11" t="e">
        <f t="array" ref="C14">SUMPRODUCT((MONTH(交易记录!B:B)=A14)*(YEAR(交易记录!B:B)=$A$1)*(交易记录!P:P="盈"))</f>
        <v>#VALUE!</v>
      </c>
      <c r="D14" s="11" t="e">
        <f t="shared" si="0"/>
        <v>#VALUE!</v>
      </c>
      <c r="E14" s="11" t="s">
        <v>83</v>
      </c>
      <c r="F14" s="10" t="e">
        <f t="shared" si="1"/>
        <v>#VALUE!</v>
      </c>
      <c r="G14" s="11">
        <f>SUM($E$3:E14)</f>
        <v>0</v>
      </c>
      <c r="H14" s="11" t="str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28AA-D536-48CA-880D-169861BBEC53}">
  <dimension ref="A1:E16"/>
  <sheetViews>
    <sheetView workbookViewId="0">
      <selection activeCell="C23" sqref="C23"/>
    </sheetView>
  </sheetViews>
  <sheetFormatPr defaultRowHeight="14.25" x14ac:dyDescent="0.2"/>
  <cols>
    <col min="1" max="1" width="22.875" customWidth="1"/>
    <col min="2" max="2" width="19.25" customWidth="1"/>
    <col min="3" max="3" width="21.875" customWidth="1"/>
    <col min="4" max="4" width="28.875" customWidth="1"/>
    <col min="5" max="5" width="33" customWidth="1"/>
  </cols>
  <sheetData>
    <row r="1" spans="1:5" x14ac:dyDescent="0.2">
      <c r="A1" s="8" t="s">
        <v>84</v>
      </c>
    </row>
    <row r="2" spans="1:5" ht="15" thickBot="1" x14ac:dyDescent="0.25">
      <c r="A2" s="15" t="s">
        <v>92</v>
      </c>
      <c r="B2">
        <v>70000</v>
      </c>
    </row>
    <row r="3" spans="1:5" ht="21" customHeight="1" thickBot="1" x14ac:dyDescent="0.25">
      <c r="A3" s="13" t="s">
        <v>85</v>
      </c>
      <c r="B3">
        <v>2100</v>
      </c>
    </row>
    <row r="5" spans="1:5" x14ac:dyDescent="0.2">
      <c r="A5" s="8" t="s">
        <v>86</v>
      </c>
    </row>
    <row r="6" spans="1:5" x14ac:dyDescent="0.2">
      <c r="A6" s="9" t="s">
        <v>87</v>
      </c>
      <c r="B6" s="9" t="s">
        <v>88</v>
      </c>
      <c r="C6" s="9" t="s">
        <v>89</v>
      </c>
      <c r="D6" s="9" t="s">
        <v>90</v>
      </c>
      <c r="E6" s="9" t="s">
        <v>91</v>
      </c>
    </row>
    <row r="7" spans="1:5" x14ac:dyDescent="0.2">
      <c r="A7" s="7">
        <v>1</v>
      </c>
      <c r="B7" s="10">
        <f>A7*$B$3</f>
        <v>2100</v>
      </c>
      <c r="C7" s="10">
        <f>$B$2-B7</f>
        <v>67900</v>
      </c>
      <c r="D7" s="10">
        <f>IF(C7&lt;$B$2,($B$2-C7)/C7*100,"0")</f>
        <v>3.0927835051546393</v>
      </c>
      <c r="E7" s="10" t="str">
        <f t="shared" ref="E7:E16" si="0">IF(D7&gt;10,"风险较高，需控制连续亏损次数","风险可控")</f>
        <v>风险可控</v>
      </c>
    </row>
    <row r="8" spans="1:5" x14ac:dyDescent="0.2">
      <c r="A8" s="7">
        <v>2</v>
      </c>
      <c r="B8" s="10">
        <f t="shared" ref="B8:B16" si="1">A8*$B$3</f>
        <v>4200</v>
      </c>
      <c r="C8" s="10">
        <f t="shared" ref="C8:C16" si="2">$B$2-B8</f>
        <v>65800</v>
      </c>
      <c r="D8" s="10">
        <f t="shared" ref="D8:D16" si="3">IF(C8&lt;$B$2,($B$2-C8)/C8*100,"0")</f>
        <v>6.3829787234042552</v>
      </c>
      <c r="E8" s="10" t="str">
        <f t="shared" si="0"/>
        <v>风险可控</v>
      </c>
    </row>
    <row r="9" spans="1:5" x14ac:dyDescent="0.2">
      <c r="A9" s="7">
        <v>3</v>
      </c>
      <c r="B9" s="10">
        <f t="shared" si="1"/>
        <v>6300</v>
      </c>
      <c r="C9" s="10">
        <f t="shared" si="2"/>
        <v>63700</v>
      </c>
      <c r="D9" s="10">
        <f t="shared" si="3"/>
        <v>9.8901098901098905</v>
      </c>
      <c r="E9" s="10" t="str">
        <f t="shared" si="0"/>
        <v>风险可控</v>
      </c>
    </row>
    <row r="10" spans="1:5" x14ac:dyDescent="0.2">
      <c r="A10" s="7">
        <v>4</v>
      </c>
      <c r="B10" s="10">
        <f t="shared" si="1"/>
        <v>8400</v>
      </c>
      <c r="C10" s="10">
        <f t="shared" si="2"/>
        <v>61600</v>
      </c>
      <c r="D10" s="10">
        <f t="shared" si="3"/>
        <v>13.636363636363635</v>
      </c>
      <c r="E10" s="10" t="str">
        <f t="shared" si="0"/>
        <v>风险较高，需控制连续亏损次数</v>
      </c>
    </row>
    <row r="11" spans="1:5" x14ac:dyDescent="0.2">
      <c r="A11" s="7">
        <v>5</v>
      </c>
      <c r="B11" s="10">
        <f t="shared" si="1"/>
        <v>10500</v>
      </c>
      <c r="C11" s="10">
        <f t="shared" si="2"/>
        <v>59500</v>
      </c>
      <c r="D11" s="10">
        <f t="shared" si="3"/>
        <v>17.647058823529413</v>
      </c>
      <c r="E11" s="10" t="str">
        <f t="shared" si="0"/>
        <v>风险较高，需控制连续亏损次数</v>
      </c>
    </row>
    <row r="12" spans="1:5" x14ac:dyDescent="0.2">
      <c r="A12" s="7">
        <v>6</v>
      </c>
      <c r="B12" s="10">
        <f t="shared" si="1"/>
        <v>12600</v>
      </c>
      <c r="C12" s="10">
        <f t="shared" si="2"/>
        <v>57400</v>
      </c>
      <c r="D12" s="10">
        <f t="shared" si="3"/>
        <v>21.951219512195124</v>
      </c>
      <c r="E12" s="10" t="str">
        <f t="shared" si="0"/>
        <v>风险较高，需控制连续亏损次数</v>
      </c>
    </row>
    <row r="13" spans="1:5" x14ac:dyDescent="0.2">
      <c r="A13" s="7">
        <v>7</v>
      </c>
      <c r="B13" s="10">
        <f t="shared" si="1"/>
        <v>14700</v>
      </c>
      <c r="C13" s="10">
        <f t="shared" si="2"/>
        <v>55300</v>
      </c>
      <c r="D13" s="10">
        <f t="shared" si="3"/>
        <v>26.582278481012654</v>
      </c>
      <c r="E13" s="10" t="str">
        <f t="shared" si="0"/>
        <v>风险较高，需控制连续亏损次数</v>
      </c>
    </row>
    <row r="14" spans="1:5" x14ac:dyDescent="0.2">
      <c r="A14" s="7">
        <v>8</v>
      </c>
      <c r="B14" s="10">
        <f t="shared" si="1"/>
        <v>16800</v>
      </c>
      <c r="C14" s="10">
        <f t="shared" si="2"/>
        <v>53200</v>
      </c>
      <c r="D14" s="10">
        <f t="shared" si="3"/>
        <v>31.578947368421051</v>
      </c>
      <c r="E14" s="10" t="str">
        <f t="shared" si="0"/>
        <v>风险较高，需控制连续亏损次数</v>
      </c>
    </row>
    <row r="15" spans="1:5" x14ac:dyDescent="0.2">
      <c r="A15" s="7">
        <v>9</v>
      </c>
      <c r="B15" s="10">
        <f t="shared" si="1"/>
        <v>18900</v>
      </c>
      <c r="C15" s="10">
        <f t="shared" si="2"/>
        <v>51100</v>
      </c>
      <c r="D15" s="10">
        <f t="shared" si="3"/>
        <v>36.986301369863014</v>
      </c>
      <c r="E15" s="10" t="str">
        <f t="shared" si="0"/>
        <v>风险较高，需控制连续亏损次数</v>
      </c>
    </row>
    <row r="16" spans="1:5" x14ac:dyDescent="0.2">
      <c r="A16" s="7">
        <v>10</v>
      </c>
      <c r="B16" s="10">
        <f t="shared" si="1"/>
        <v>21000</v>
      </c>
      <c r="C16" s="10">
        <f t="shared" si="2"/>
        <v>49000</v>
      </c>
      <c r="D16" s="10">
        <f t="shared" si="3"/>
        <v>42.857142857142854</v>
      </c>
      <c r="E16" s="10" t="str">
        <f t="shared" si="0"/>
        <v>风险较高，需控制连续亏损次数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交易记录</vt:lpstr>
      <vt:lpstr>交易统计</vt:lpstr>
      <vt:lpstr>2026年月度收益</vt:lpstr>
      <vt:lpstr>压力测试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力 陈</cp:lastModifiedBy>
  <dcterms:created xsi:type="dcterms:W3CDTF">2015-06-05T18:19:34Z</dcterms:created>
  <dcterms:modified xsi:type="dcterms:W3CDTF">2026-04-24T08:43:33Z</dcterms:modified>
</cp:coreProperties>
</file>