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Github\MyKnowledgeRepository\LearningNote\"/>
    </mc:Choice>
  </mc:AlternateContent>
  <xr:revisionPtr revIDLastSave="0" documentId="13_ncr:1_{A28211E0-8DFE-426C-A916-C538BD67ADB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工资记录" sheetId="1" r:id="rId1"/>
    <sheet name="资产记录" sheetId="2" r:id="rId2"/>
    <sheet name="中行阶梯存款法试行" sheetId="3" r:id="rId3"/>
    <sheet name="12存单法试行" sheetId="5" r:id="rId4"/>
  </sheets>
  <calcPr calcId="181029"/>
</workbook>
</file>

<file path=xl/calcChain.xml><?xml version="1.0" encoding="utf-8"?>
<calcChain xmlns="http://schemas.openxmlformats.org/spreadsheetml/2006/main">
  <c r="K49" i="2" l="1"/>
  <c r="G10" i="5"/>
  <c r="G11" i="5"/>
  <c r="G12" i="5"/>
  <c r="G9" i="5"/>
  <c r="G3" i="5"/>
  <c r="G4" i="5"/>
  <c r="G5" i="5"/>
  <c r="G6" i="5"/>
  <c r="G7" i="5"/>
  <c r="G8" i="5"/>
  <c r="G2" i="5"/>
  <c r="G6" i="3"/>
  <c r="G5" i="3"/>
  <c r="G3" i="3"/>
  <c r="G4" i="3"/>
  <c r="G2" i="3"/>
  <c r="K48" i="2"/>
  <c r="K47" i="2"/>
  <c r="K4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</calcChain>
</file>

<file path=xl/sharedStrings.xml><?xml version="1.0" encoding="utf-8"?>
<sst xmlns="http://schemas.openxmlformats.org/spreadsheetml/2006/main" count="180" uniqueCount="150">
  <si>
    <t>发工资时间</t>
  </si>
  <si>
    <t>岗位工资</t>
  </si>
  <si>
    <t>薪级工资</t>
  </si>
  <si>
    <t>基础性绩效工资</t>
  </si>
  <si>
    <t>基础绩效奖</t>
  </si>
  <si>
    <t>公积金（双边12%）</t>
  </si>
  <si>
    <t>养老保险（个人8%，单位14%）</t>
  </si>
  <si>
    <t>医疗保险（个人2.6%）</t>
  </si>
  <si>
    <t>失业保险（个人0.2%，单位0.8%）</t>
  </si>
  <si>
    <t>工伤保险（单位0.2%）</t>
  </si>
  <si>
    <t>个人所得税</t>
  </si>
  <si>
    <t>工会费</t>
  </si>
  <si>
    <t>定扣项</t>
  </si>
  <si>
    <t>个人扣款总额</t>
  </si>
  <si>
    <t>到手工资</t>
  </si>
  <si>
    <t>单位帮缴纳费用</t>
  </si>
  <si>
    <t>备注</t>
  </si>
  <si>
    <t>2023.8.14（8月工资）</t>
  </si>
  <si>
    <t>360（个人）+360（单位）</t>
  </si>
  <si>
    <t>335.2（个人）+ 586.6（单位）（基础工资4190算）</t>
  </si>
  <si>
    <t>80.24（个人）</t>
  </si>
  <si>
    <t>6（个人）+24（单位）</t>
  </si>
  <si>
    <t>6（单位）</t>
  </si>
  <si>
    <t>7月工资收入到账1078.56,7月补贴345</t>
  </si>
  <si>
    <t>记录时间</t>
  </si>
  <si>
    <t>中行</t>
  </si>
  <si>
    <t>广发</t>
  </si>
  <si>
    <t>招行</t>
  </si>
  <si>
    <t>工行</t>
  </si>
  <si>
    <t>建行</t>
  </si>
  <si>
    <t>零钱</t>
  </si>
  <si>
    <t>零钱通</t>
  </si>
  <si>
    <t>中信证劵</t>
  </si>
  <si>
    <t>总资产</t>
  </si>
  <si>
    <t>备注（2024年小目标：存款达到16万；2025年小目标：存款达到23万；2026年小目标：存款达到31万；）</t>
  </si>
  <si>
    <t>2023.7.3</t>
  </si>
  <si>
    <t>2023.7.19</t>
  </si>
  <si>
    <t>2023.8.15</t>
  </si>
  <si>
    <t>2023.8.21</t>
  </si>
  <si>
    <t>2023.9.9</t>
  </si>
  <si>
    <t>这里资产下降那么多的原因是开始搞跨境电商</t>
  </si>
  <si>
    <t>2023.9.14</t>
  </si>
  <si>
    <t>2023.10.4</t>
  </si>
  <si>
    <t>2023.10.20</t>
  </si>
  <si>
    <t>2023.10.28</t>
  </si>
  <si>
    <t>2023.11.13</t>
  </si>
  <si>
    <t>2023.11.22</t>
  </si>
  <si>
    <t>这里资产增长是因为母亲看病转了一万给我，剩余金钱留给了我。看病整体花了6000左右。</t>
  </si>
  <si>
    <t>2023.11.30</t>
  </si>
  <si>
    <t>首次突破十万，2023年目标完成</t>
  </si>
  <si>
    <t>2023.12.13</t>
  </si>
  <si>
    <t>2023.12.29</t>
  </si>
  <si>
    <t>2024.1.15</t>
  </si>
  <si>
    <t>资产下降的原因：给母亲庆祝生日和买了一套西装，总花费4200</t>
  </si>
  <si>
    <t>2024.1.26</t>
  </si>
  <si>
    <t>2024.2.2</t>
  </si>
  <si>
    <t>新人年终发了2163，哭了</t>
  </si>
  <si>
    <t>2024.2.8</t>
  </si>
  <si>
    <t>突破11万了，历史的第一步。</t>
  </si>
  <si>
    <t>2024.3.11</t>
  </si>
  <si>
    <t>2024.4.12</t>
  </si>
  <si>
    <t>突破12万，还差今年目标4万。</t>
  </si>
  <si>
    <t>2024.4.30</t>
  </si>
  <si>
    <t>2024.6.9</t>
  </si>
  <si>
    <t>比4月份资产少的原因是自己花费了资金买手机2000，以及手表300，还有一些吃吃喝喝比较多，还转了1000给母亲，作为母亲节的补助。</t>
  </si>
  <si>
    <t>2024.6.30</t>
  </si>
  <si>
    <t>2024.7.12</t>
  </si>
  <si>
    <t>首次突破13万，离目标还差3万。粗略算了一下，工作第一年存了6万3左右。</t>
  </si>
  <si>
    <t>2024.8.11</t>
  </si>
  <si>
    <t>2024.8.13</t>
  </si>
  <si>
    <t>突破14万，离目标还差2万。</t>
  </si>
  <si>
    <t>2024.8.30</t>
  </si>
  <si>
    <t>这个月工资突破了一万，达到了11305.65（5583.27+1250+3752.38+220+500），约1万1左右。但是最后为什么没有突破14万，那是因为这个月开销太大了。房租这边750+600（网络费+物业费）+500（停车费），护肤780+500，转账1000，油费+罚款800，还有零零碎碎吃的那些。这个月开销太大了，下个月还要买车险。突然发现存钱好困难，到处都是用钱的地方。</t>
  </si>
  <si>
    <t>2024.9.13</t>
  </si>
  <si>
    <t>2024.10.6</t>
  </si>
  <si>
    <t>九月份工资达到了1w2左右，还是比较满意的。这个月的主要消费是车险+健身卡+电动车。（3800+1111+878=5789）</t>
  </si>
  <si>
    <t>2024.10.17</t>
  </si>
  <si>
    <t>离2024小目标还差一万五，要省钱了，不要在大手大脚花钱了。</t>
  </si>
  <si>
    <t>2024.11.29</t>
  </si>
  <si>
    <t>本来大概有三笔主要消费。第一笔是医疗，带母亲看病做手术花了2500。第二笔是服装，买了海澜之家这衣服，花了1800，第三笔主要是汽车用品，花了600左右。总计花费了5000左右。离今年目标还差6000！加油！努力存钱买房！</t>
  </si>
  <si>
    <t>2024.12.31</t>
  </si>
  <si>
    <t>今年存款目标达成。16万。明年买房，可能存款到达不了23万了。</t>
  </si>
  <si>
    <t>2025.2.5</t>
  </si>
  <si>
    <t>年终奖发了一万一左右。离目标23万还差6万，相当于每个月要存5000。</t>
  </si>
  <si>
    <t>2025.3.26</t>
  </si>
  <si>
    <t>最近开销比较大，家人拔牙，自己和母亲还要种牙。小侄女和大嫂拔牙花了2000，我自己种牙花了4000，母亲的还没种，定金交了500。可能全部费用加起来要一万左右。</t>
  </si>
  <si>
    <t>2025.3.31</t>
  </si>
  <si>
    <t>到目前为止，工作1年8个月，攒够10万了，相当于每个月存了5000。也算是一份不错的成就。以后每年存10万，只需要10年，我就可以成为百万富翁了，哈哈哈。每年存10万，相当于每个月要存8400左右，这个难度确实不小。现在才发现，赚钱越来这么难。</t>
  </si>
  <si>
    <t>2025.5.14</t>
  </si>
  <si>
    <t>离今年目标还差3万左右，今年可以去看房，明年再考虑买房。</t>
  </si>
  <si>
    <t>2025.7.24</t>
  </si>
  <si>
    <t>买完房了，总价98万，税交了7600，一共98.76万。首付付了38万，贷款了60万（公积金45万 + 商贷15万），等额本金。公积金贷30年，目前利率为2.6%，商贷贷15年，目前利率为3.05%。公积金首月还款2225元，商贷首月还款1214.58，首月还款总共为3439.58。商贷还两个月后就可以全部由公积金那边提供，也就是目前公积金是可以覆盖我的房贷的。我目前公积金28114.2元，每月公积金有2728元，下一年公积金还会涨。但是装修可能还得要20万左右，小目标目前是实现不了了。固定三年定期存款10万元，作为自己底气存款，以此来应对风险。等额本金的话，贷款在第7年还完是最划算的，也就是在2032年把房贷全部还清。</t>
  </si>
  <si>
    <t>2025.11.13</t>
  </si>
  <si>
    <t>这个月开始装修了，母亲给了我5.5万，我自己也贷了20万。这个月也开始玩股票，虽然目前是亏损的状态，但我也在努力学习中，希望未来能有一定的获益，也不求赚很多，能有一顿酒钱饭钱就开心了。也希望能够合理地划分好资金进行理财，当然也是利用闲钱去玩股票，不要触及自己根本就行。这个月开始每月给自己固定存3千元，积少成多。装修贷5年内还清。</t>
  </si>
  <si>
    <t>2025.11.19</t>
  </si>
  <si>
    <t>父亲给了一万五，母亲给了6万</t>
  </si>
  <si>
    <t>2026.1.1</t>
  </si>
  <si>
    <t>消费贷贷了20万，五年还清。年纪轻轻身上就背负了80万的贷款。</t>
  </si>
  <si>
    <t>利率</t>
  </si>
  <si>
    <t>利息</t>
  </si>
  <si>
    <t>2023.8.20</t>
  </si>
  <si>
    <t>银行</t>
  </si>
  <si>
    <t>2023.10.17</t>
  </si>
  <si>
    <t>2026.1.11</t>
    <phoneticPr fontId="7" type="noConversion"/>
  </si>
  <si>
    <t>母亲给了3万买电器，母亲真的给我减轻了很多压力，真的无以回报。</t>
    <phoneticPr fontId="7" type="noConversion"/>
  </si>
  <si>
    <t>2026.2.19</t>
    <phoneticPr fontId="7" type="noConversion"/>
  </si>
  <si>
    <t>还有一千块现金在钱包，发红包用的。</t>
    <phoneticPr fontId="7" type="noConversion"/>
  </si>
  <si>
    <t>2026.2.26</t>
    <phoneticPr fontId="7" type="noConversion"/>
  </si>
  <si>
    <t>今天股票赚了3700，发了科研绩效1850，今天回血5550，期待突破26万，今年存款达到30万。还要买家具家电那些，压力有点大。</t>
    <phoneticPr fontId="7" type="noConversion"/>
  </si>
  <si>
    <t>国信证券</t>
    <phoneticPr fontId="7" type="noConversion"/>
  </si>
  <si>
    <t>2026.3.10</t>
    <phoneticPr fontId="7" type="noConversion"/>
  </si>
  <si>
    <t>华胜天成目前收益7544.38，要是每天能稳定盈利3000就好咯，要准备买全屋家电的钱了，又是一笔大开销</t>
    <phoneticPr fontId="7" type="noConversion"/>
  </si>
  <si>
    <t>2026.4.2</t>
    <phoneticPr fontId="7" type="noConversion"/>
  </si>
  <si>
    <t>账户严重亏损，黑色3月，炒股赔了2万左右，当然也有自己操作的原因。盈利3万谈何容易，亏损倒挺容易。现在要盈利5万才能达到目标了，只能慢慢来了，不要急，好好沉淀自己，相信自己可以的。</t>
    <phoneticPr fontId="7" type="noConversion"/>
  </si>
  <si>
    <t>2026.4.10</t>
    <phoneticPr fontId="7" type="noConversion"/>
  </si>
  <si>
    <t>旅游花费了3700左右，安利产品等，最主要是股票亏损了2万多，心痛。</t>
    <phoneticPr fontId="7" type="noConversion"/>
  </si>
  <si>
    <t>2026.4.13</t>
    <phoneticPr fontId="7" type="noConversion"/>
  </si>
  <si>
    <t>存款时间</t>
    <phoneticPr fontId="7" type="noConversion"/>
  </si>
  <si>
    <t>到期时间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</si>
  <si>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026.8.20</t>
    </r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</si>
  <si>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025.8.20</t>
    </r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</si>
  <si>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024.8.21</t>
    </r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</si>
  <si>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024.7.26</t>
    </r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</si>
  <si>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027.7.26</t>
    </r>
    <phoneticPr fontId="7" type="noConversion"/>
  </si>
  <si>
    <t>存款金额（元）</t>
    <phoneticPr fontId="7" type="noConversion"/>
  </si>
  <si>
    <t>定期时间(年)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</si>
  <si>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025.8.21</t>
    </r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</si>
  <si>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028.8.21</t>
    </r>
    <phoneticPr fontId="7" type="noConversion"/>
  </si>
  <si>
    <t>备注</t>
    <phoneticPr fontId="7" type="noConversion"/>
  </si>
  <si>
    <t>现在定期存款的额度已经达到了10万，这是自己的生命线，不到万不得已切不可动它。虽然利率有点低，但是这是自己的本金，不做任何投资，只做抵御风险的保证金。</t>
    <phoneticPr fontId="7" type="noConversion"/>
  </si>
  <si>
    <t>银行</t>
    <phoneticPr fontId="7" type="noConversion"/>
  </si>
  <si>
    <t>中行</t>
    <phoneticPr fontId="7" type="noConversion"/>
  </si>
  <si>
    <t>定期时间（年）</t>
    <phoneticPr fontId="7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</si>
  <si>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.8.15</t>
    </r>
    <phoneticPr fontId="7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</si>
  <si>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.9.14</t>
    </r>
    <phoneticPr fontId="7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</si>
  <si>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.10.17</t>
    </r>
    <phoneticPr fontId="7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</si>
  <si>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.11.13</t>
    </r>
    <phoneticPr fontId="7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</si>
  <si>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.12.13</t>
    </r>
    <phoneticPr fontId="7" type="noConversion"/>
  </si>
  <si>
    <t>招行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</si>
  <si>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025.11.13</t>
    </r>
    <phoneticPr fontId="7" type="noConversion"/>
  </si>
  <si>
    <t>2026.11.13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</si>
  <si>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025.12.12</t>
    </r>
    <phoneticPr fontId="7" type="noConversion"/>
  </si>
  <si>
    <t>2026.12.12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</si>
  <si>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026.1.13</t>
    </r>
    <phoneticPr fontId="7" type="noConversion"/>
  </si>
  <si>
    <t>2027.1.13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</si>
  <si>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026.2.13</t>
    </r>
    <phoneticPr fontId="7" type="noConversion"/>
  </si>
  <si>
    <t>2027.2.13</t>
    <phoneticPr fontId="7" type="noConversion"/>
  </si>
  <si>
    <t>到这里就停止一段时间吧，额，因为装修需要用钱</t>
    <phoneticPr fontId="7" type="noConversion"/>
  </si>
  <si>
    <t>发基本工资 + 股票回本2000元，目前股票亏损1万8，啥时候资金能到26万呐</t>
    <phoneticPr fontId="7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</si>
  <si>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026.4.17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</si>
</sst>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30A5D"/>
        <bgColor indexed="64"/>
      </patternFill>
    </fill>
    <fill>
      <patternFill patternType="solid">
        <fgColor rgb="FFF1EA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430A5D"/>
      </top>
      <bottom style="thin">
        <color rgb="FF430A5D"/>
      </bottom>
      <diagonal/>
    </border>
    <border>
      <left/>
      <right/>
      <top/>
      <bottom style="dashed">
        <color rgb="FFDDDDDD"/>
      </bottom>
      <diagonal/>
    </border>
    <border>
      <left/>
      <right/>
      <top style="dashed">
        <color rgb="FFDDDDDD"/>
      </top>
      <bottom style="dashed">
        <color rgb="FFDDDDDD"/>
      </bottom>
      <diagonal/>
    </border>
    <border>
      <left/>
      <right/>
      <top style="dashed">
        <color rgb="FFDDDDDD"/>
      </top>
      <bottom style="thin">
        <color rgb="FF430A5D"/>
      </bottom>
      <diagonal/>
    </border>
    <border>
      <left/>
      <right/>
      <top style="dashed">
        <color rgb="FFDDDDDD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0" fontId="0" fillId="0" borderId="0" xfId="0" applyNumberFormat="1">
      <alignment vertical="center"/>
    </xf>
    <xf numFmtId="0" fontId="3" fillId="3" borderId="5" xfId="0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2">
    <dxf>
      <font>
        <b val="0"/>
        <i val="0"/>
        <strike val="0"/>
        <u val="none"/>
        <sz val="11"/>
        <color rgb="FF000000"/>
        <name val="宋体"/>
        <family val="3"/>
        <charset val="134"/>
        <scheme val="none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charset val="134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dashed">
          <color rgb="FFDDDDDD"/>
        </top>
        <bottom/>
        <vertical/>
        <horizontal/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/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color rgb="FF000000"/>
      </font>
      <fill>
        <patternFill patternType="solid">
          <bgColor rgb="FFFFFF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  <dxf>
      <font>
        <b val="0"/>
        <i val="0"/>
        <strike val="0"/>
        <u val="none"/>
        <sz val="11"/>
        <color rgb="FF000000"/>
        <name val="宋体"/>
        <family val="3"/>
        <charset val="134"/>
        <scheme val="none"/>
      </font>
      <fill>
        <patternFill patternType="solid">
          <bgColor rgb="FFF1EAFF"/>
        </patternFill>
      </fill>
      <alignment horizontal="center" vertical="center"/>
      <border>
        <left/>
        <right/>
        <top style="dashed">
          <color rgb="FFDDDDDD"/>
        </top>
        <bottom style="dashed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L49" totalsRowShown="0">
  <autoFilter ref="A1:L49" xr:uid="{00000000-0009-0000-0100-000002000000}"/>
  <tableColumns count="12">
    <tableColumn id="1" xr3:uid="{00000000-0010-0000-0000-000001000000}" name="记录时间" dataDxfId="11"/>
    <tableColumn id="2" xr3:uid="{00000000-0010-0000-0000-000002000000}" name="中行" dataDxfId="10"/>
    <tableColumn id="3" xr3:uid="{00000000-0010-0000-0000-000003000000}" name="广发" dataDxfId="9"/>
    <tableColumn id="4" xr3:uid="{00000000-0010-0000-0000-000004000000}" name="招行" dataDxfId="8"/>
    <tableColumn id="5" xr3:uid="{00000000-0010-0000-0000-000005000000}" name="工行" dataDxfId="7"/>
    <tableColumn id="6" xr3:uid="{00000000-0010-0000-0000-000006000000}" name="建行" dataDxfId="6"/>
    <tableColumn id="7" xr3:uid="{00000000-0010-0000-0000-000007000000}" name="零钱" dataDxfId="5"/>
    <tableColumn id="8" xr3:uid="{00000000-0010-0000-0000-000008000000}" name="零钱通" dataDxfId="4"/>
    <tableColumn id="12" xr3:uid="{00000000-0010-0000-0000-00000C000000}" name="中信证劵" dataDxfId="3"/>
    <tableColumn id="11" xr3:uid="{64352D52-1B04-48EB-8960-F549AEA72D21}" name="国信证券" dataDxfId="2"/>
    <tableColumn id="9" xr3:uid="{00000000-0010-0000-0000-000009000000}" name="总资产" dataDxfId="1">
      <calculatedColumnFormula>SUM(B2:J2)</calculatedColumnFormula>
    </tableColumn>
    <tableColumn id="10" xr3:uid="{00000000-0010-0000-0000-00000A000000}" name="备注（2024年小目标：存款达到16万；2025年小目标：存款达到23万；2026年小目标：存款达到31万；）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opLeftCell="H1" workbookViewId="0">
      <selection activeCell="O3" sqref="O3"/>
    </sheetView>
  </sheetViews>
  <sheetFormatPr defaultColWidth="9" defaultRowHeight="13.5" x14ac:dyDescent="0.15"/>
  <cols>
    <col min="1" max="1" width="14.75" style="1" customWidth="1"/>
    <col min="2" max="2" width="20.75" style="1" customWidth="1"/>
    <col min="3" max="5" width="17.375" style="1" customWidth="1"/>
    <col min="6" max="6" width="24.125" style="1" customWidth="1"/>
    <col min="7" max="7" width="30.75" style="1" customWidth="1"/>
    <col min="8" max="8" width="20.75" style="1" customWidth="1"/>
    <col min="9" max="9" width="31.375" style="1" customWidth="1"/>
    <col min="10" max="10" width="25.5" style="1" customWidth="1"/>
    <col min="11" max="11" width="16.875" style="1" customWidth="1"/>
    <col min="12" max="13" width="9" style="1"/>
    <col min="14" max="14" width="16.875" style="1" customWidth="1"/>
    <col min="15" max="15" width="17.375" style="1" customWidth="1"/>
    <col min="16" max="16" width="18.875" style="1" customWidth="1"/>
    <col min="17" max="17" width="19.25" style="1" customWidth="1"/>
    <col min="18" max="16384" width="9" style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s="1" t="s">
        <v>17</v>
      </c>
      <c r="B2" s="1">
        <v>3000</v>
      </c>
      <c r="C2" s="1">
        <v>0</v>
      </c>
      <c r="D2" s="1">
        <v>0</v>
      </c>
      <c r="E2" s="1">
        <v>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>
        <v>0</v>
      </c>
      <c r="L2" s="1">
        <v>15</v>
      </c>
      <c r="M2" s="1">
        <v>0</v>
      </c>
      <c r="N2" s="1">
        <v>796.44</v>
      </c>
      <c r="O2" s="1">
        <v>2203.56</v>
      </c>
      <c r="P2" s="1">
        <v>976.6</v>
      </c>
      <c r="Q2" s="1" t="s">
        <v>23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abSelected="1" topLeftCell="C16" workbookViewId="0">
      <selection activeCell="L49" sqref="L49"/>
    </sheetView>
  </sheetViews>
  <sheetFormatPr defaultColWidth="9" defaultRowHeight="13.5" x14ac:dyDescent="0.15"/>
  <cols>
    <col min="1" max="1" width="14.375" style="1" customWidth="1"/>
    <col min="2" max="2" width="15.25" style="1" customWidth="1"/>
    <col min="3" max="3" width="15.625" style="1" customWidth="1"/>
    <col min="4" max="4" width="20.125" style="1" customWidth="1"/>
    <col min="5" max="5" width="20.875" style="1" customWidth="1"/>
    <col min="6" max="6" width="20.125" style="1" customWidth="1"/>
    <col min="7" max="7" width="13.875" style="1" customWidth="1"/>
    <col min="8" max="10" width="15.875" style="1" customWidth="1"/>
    <col min="11" max="11" width="20" style="1" customWidth="1"/>
    <col min="12" max="12" width="64.25" style="1" customWidth="1"/>
    <col min="13" max="16384" width="9" style="1"/>
  </cols>
  <sheetData>
    <row r="1" spans="1:12" x14ac:dyDescent="0.1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23" t="s">
        <v>109</v>
      </c>
      <c r="K1" s="3" t="s">
        <v>33</v>
      </c>
      <c r="L1" s="3" t="s">
        <v>34</v>
      </c>
    </row>
    <row r="2" spans="1:12" x14ac:dyDescent="0.15">
      <c r="A2" s="4" t="s">
        <v>35</v>
      </c>
      <c r="B2" s="5">
        <v>26251.79</v>
      </c>
      <c r="C2" s="5">
        <v>0</v>
      </c>
      <c r="D2" s="5">
        <v>27197.64</v>
      </c>
      <c r="E2" s="5">
        <v>29474.92</v>
      </c>
      <c r="F2" s="5">
        <v>0</v>
      </c>
      <c r="G2" s="5">
        <v>1563.61</v>
      </c>
      <c r="H2" s="5">
        <v>4002.26</v>
      </c>
      <c r="I2" s="5">
        <v>0</v>
      </c>
      <c r="J2" s="5">
        <v>0</v>
      </c>
      <c r="K2" s="5">
        <f t="shared" ref="K2:K45" si="0">SUM(B2:J2)</f>
        <v>88490.22</v>
      </c>
      <c r="L2" s="5"/>
    </row>
    <row r="3" spans="1:12" x14ac:dyDescent="0.15">
      <c r="A3" s="6" t="s">
        <v>36</v>
      </c>
      <c r="B3" s="7">
        <v>26260.79</v>
      </c>
      <c r="C3" s="7">
        <v>0</v>
      </c>
      <c r="D3" s="7">
        <v>27197.64</v>
      </c>
      <c r="E3" s="7">
        <v>28984.41</v>
      </c>
      <c r="F3" s="7">
        <v>17.04</v>
      </c>
      <c r="G3" s="7">
        <v>820.53</v>
      </c>
      <c r="H3" s="7">
        <v>4004.76</v>
      </c>
      <c r="I3" s="5">
        <v>0</v>
      </c>
      <c r="J3" s="5">
        <v>0</v>
      </c>
      <c r="K3" s="7">
        <f t="shared" si="0"/>
        <v>87285.169999999984</v>
      </c>
      <c r="L3" s="7"/>
    </row>
    <row r="4" spans="1:12" x14ac:dyDescent="0.15">
      <c r="A4" s="6" t="s">
        <v>37</v>
      </c>
      <c r="B4" s="7">
        <v>25290.12</v>
      </c>
      <c r="C4" s="7">
        <v>3282.12</v>
      </c>
      <c r="D4" s="7">
        <v>27197.64</v>
      </c>
      <c r="E4" s="7">
        <v>28928.91</v>
      </c>
      <c r="F4" s="7">
        <v>417.04</v>
      </c>
      <c r="G4" s="7">
        <v>502.09</v>
      </c>
      <c r="H4" s="7">
        <v>4009.93</v>
      </c>
      <c r="I4" s="5">
        <v>0</v>
      </c>
      <c r="J4" s="5">
        <v>0</v>
      </c>
      <c r="K4" s="7">
        <f t="shared" si="0"/>
        <v>89627.849999999977</v>
      </c>
      <c r="L4" s="7"/>
    </row>
    <row r="5" spans="1:12" x14ac:dyDescent="0.15">
      <c r="A5" s="6" t="s">
        <v>38</v>
      </c>
      <c r="B5" s="7">
        <v>70590.42</v>
      </c>
      <c r="C5" s="7">
        <v>3282.12</v>
      </c>
      <c r="D5" s="7">
        <v>2197.64</v>
      </c>
      <c r="E5" s="7">
        <v>8910.91</v>
      </c>
      <c r="F5" s="7">
        <v>417.04</v>
      </c>
      <c r="G5" s="7">
        <v>174.49</v>
      </c>
      <c r="H5" s="7">
        <v>4010.94</v>
      </c>
      <c r="I5" s="5">
        <v>0</v>
      </c>
      <c r="J5" s="5">
        <v>0</v>
      </c>
      <c r="K5" s="7">
        <f t="shared" si="0"/>
        <v>89583.56</v>
      </c>
      <c r="L5" s="7"/>
    </row>
    <row r="6" spans="1:12" x14ac:dyDescent="0.15">
      <c r="A6" s="6" t="s">
        <v>39</v>
      </c>
      <c r="B6" s="7">
        <v>70865.009999999995</v>
      </c>
      <c r="C6" s="7">
        <v>3282.12</v>
      </c>
      <c r="D6" s="7">
        <v>2188.14</v>
      </c>
      <c r="E6" s="7">
        <v>3910.91</v>
      </c>
      <c r="F6" s="7">
        <v>217.43</v>
      </c>
      <c r="G6" s="7">
        <v>734.68</v>
      </c>
      <c r="H6" s="7">
        <v>2013.43</v>
      </c>
      <c r="I6" s="5">
        <v>0</v>
      </c>
      <c r="J6" s="5">
        <v>0</v>
      </c>
      <c r="K6" s="7">
        <f t="shared" si="0"/>
        <v>83211.719999999972</v>
      </c>
      <c r="L6" s="7" t="s">
        <v>40</v>
      </c>
    </row>
    <row r="7" spans="1:12" x14ac:dyDescent="0.15">
      <c r="A7" s="6" t="s">
        <v>41</v>
      </c>
      <c r="B7" s="7">
        <v>70851.509999999995</v>
      </c>
      <c r="C7" s="7">
        <v>5355.68</v>
      </c>
      <c r="D7" s="7">
        <v>2188.14</v>
      </c>
      <c r="E7" s="7">
        <v>3910.91</v>
      </c>
      <c r="F7" s="7">
        <v>127.62</v>
      </c>
      <c r="G7" s="7">
        <v>399.68</v>
      </c>
      <c r="H7" s="7">
        <v>2013.83</v>
      </c>
      <c r="I7" s="5">
        <v>0</v>
      </c>
      <c r="J7" s="5">
        <v>0</v>
      </c>
      <c r="K7" s="7">
        <f t="shared" si="0"/>
        <v>84847.37</v>
      </c>
      <c r="L7" s="7"/>
    </row>
    <row r="8" spans="1:12" x14ac:dyDescent="0.15">
      <c r="A8" s="6" t="s">
        <v>42</v>
      </c>
      <c r="B8" s="7">
        <v>71245.960000000006</v>
      </c>
      <c r="C8" s="7">
        <v>5356.21</v>
      </c>
      <c r="D8" s="7">
        <v>2197.0500000000002</v>
      </c>
      <c r="E8" s="7">
        <v>3921.02</v>
      </c>
      <c r="F8" s="7">
        <v>34.33</v>
      </c>
      <c r="G8" s="7">
        <v>1119.3599999999999</v>
      </c>
      <c r="H8" s="7">
        <v>2015.93</v>
      </c>
      <c r="I8" s="5">
        <v>0</v>
      </c>
      <c r="J8" s="5">
        <v>0</v>
      </c>
      <c r="K8" s="7">
        <f t="shared" si="0"/>
        <v>85889.860000000015</v>
      </c>
      <c r="L8" s="7"/>
    </row>
    <row r="9" spans="1:12" x14ac:dyDescent="0.15">
      <c r="A9" s="6" t="s">
        <v>43</v>
      </c>
      <c r="B9" s="7">
        <v>72187.16</v>
      </c>
      <c r="C9" s="7">
        <v>7559.77</v>
      </c>
      <c r="D9" s="7">
        <v>2197.0500000000002</v>
      </c>
      <c r="E9" s="7">
        <v>3133.24</v>
      </c>
      <c r="F9" s="7">
        <v>5.36</v>
      </c>
      <c r="G9" s="7">
        <v>804.23</v>
      </c>
      <c r="H9" s="7">
        <v>2017.56</v>
      </c>
      <c r="I9" s="5">
        <v>0</v>
      </c>
      <c r="J9" s="5">
        <v>0</v>
      </c>
      <c r="K9" s="7">
        <f t="shared" si="0"/>
        <v>87904.37000000001</v>
      </c>
      <c r="L9" s="7"/>
    </row>
    <row r="10" spans="1:12" x14ac:dyDescent="0.15">
      <c r="A10" s="6" t="s">
        <v>44</v>
      </c>
      <c r="B10" s="7">
        <v>72061.66</v>
      </c>
      <c r="C10" s="7">
        <v>7559.77</v>
      </c>
      <c r="D10" s="7">
        <v>2197.0500000000002</v>
      </c>
      <c r="E10" s="7">
        <v>5146.87</v>
      </c>
      <c r="F10" s="7">
        <v>290.41000000000003</v>
      </c>
      <c r="G10" s="7">
        <v>926.79</v>
      </c>
      <c r="H10" s="7">
        <v>1018.36</v>
      </c>
      <c r="I10" s="5">
        <v>0</v>
      </c>
      <c r="J10" s="5">
        <v>0</v>
      </c>
      <c r="K10" s="7">
        <f t="shared" si="0"/>
        <v>89200.91</v>
      </c>
      <c r="L10" s="7"/>
    </row>
    <row r="11" spans="1:12" x14ac:dyDescent="0.15">
      <c r="A11" s="6" t="s">
        <v>45</v>
      </c>
      <c r="B11" s="7">
        <v>71806.66</v>
      </c>
      <c r="C11" s="7">
        <v>12271.33</v>
      </c>
      <c r="D11" s="7">
        <v>2197.0500000000002</v>
      </c>
      <c r="E11" s="7">
        <v>6532.64</v>
      </c>
      <c r="F11" s="7">
        <v>270.51</v>
      </c>
      <c r="G11" s="7">
        <v>3.2</v>
      </c>
      <c r="H11" s="7">
        <v>74.98</v>
      </c>
      <c r="I11" s="5">
        <v>0</v>
      </c>
      <c r="J11" s="5">
        <v>0</v>
      </c>
      <c r="K11" s="7">
        <f t="shared" si="0"/>
        <v>93156.37</v>
      </c>
      <c r="L11" s="7"/>
    </row>
    <row r="12" spans="1:12" x14ac:dyDescent="0.15">
      <c r="A12" s="6" t="s">
        <v>46</v>
      </c>
      <c r="B12" s="7">
        <v>67626.710000000006</v>
      </c>
      <c r="C12" s="7">
        <v>12271.33</v>
      </c>
      <c r="D12" s="7">
        <v>2197.0500000000002</v>
      </c>
      <c r="E12" s="8">
        <v>5851.8</v>
      </c>
      <c r="F12" s="7">
        <v>182.25</v>
      </c>
      <c r="G12" s="7">
        <v>4975.2</v>
      </c>
      <c r="H12" s="7">
        <v>5009.1499999999996</v>
      </c>
      <c r="I12" s="5">
        <v>0</v>
      </c>
      <c r="J12" s="5">
        <v>0</v>
      </c>
      <c r="K12" s="7">
        <f t="shared" si="0"/>
        <v>98113.49</v>
      </c>
      <c r="L12" s="7" t="s">
        <v>47</v>
      </c>
    </row>
    <row r="13" spans="1:12" x14ac:dyDescent="0.15">
      <c r="A13" s="6" t="s">
        <v>48</v>
      </c>
      <c r="B13" s="7">
        <v>70295.56</v>
      </c>
      <c r="C13" s="7">
        <v>12271.33</v>
      </c>
      <c r="D13" s="7">
        <v>2197.0500000000002</v>
      </c>
      <c r="E13" s="7">
        <v>5554.17</v>
      </c>
      <c r="F13" s="7">
        <v>91.48</v>
      </c>
      <c r="G13" s="7">
        <v>4757.22</v>
      </c>
      <c r="H13" s="7">
        <v>5010.96</v>
      </c>
      <c r="I13" s="5">
        <v>0</v>
      </c>
      <c r="J13" s="5">
        <v>0</v>
      </c>
      <c r="K13" s="7">
        <f t="shared" si="0"/>
        <v>100177.77</v>
      </c>
      <c r="L13" s="7" t="s">
        <v>49</v>
      </c>
    </row>
    <row r="14" spans="1:12" x14ac:dyDescent="0.15">
      <c r="A14" s="6" t="s">
        <v>50</v>
      </c>
      <c r="B14" s="7">
        <v>70795.56</v>
      </c>
      <c r="C14" s="7">
        <v>16982.89</v>
      </c>
      <c r="D14" s="7">
        <v>2197.0500000000002</v>
      </c>
      <c r="E14" s="7">
        <v>5503.27</v>
      </c>
      <c r="F14" s="7">
        <v>38.43</v>
      </c>
      <c r="G14" s="7">
        <v>3117.84</v>
      </c>
      <c r="H14" s="7">
        <v>5014.37</v>
      </c>
      <c r="I14" s="5">
        <v>0</v>
      </c>
      <c r="J14" s="5">
        <v>0</v>
      </c>
      <c r="K14" s="7">
        <f t="shared" si="0"/>
        <v>103649.40999999999</v>
      </c>
      <c r="L14" s="7"/>
    </row>
    <row r="15" spans="1:12" x14ac:dyDescent="0.15">
      <c r="A15" s="6" t="s">
        <v>51</v>
      </c>
      <c r="B15" s="7">
        <v>74065.740000000005</v>
      </c>
      <c r="C15" s="8">
        <v>16968.2</v>
      </c>
      <c r="D15" s="7">
        <v>2197.0500000000002</v>
      </c>
      <c r="E15" s="7">
        <v>5461.73</v>
      </c>
      <c r="F15" s="7">
        <v>3.71</v>
      </c>
      <c r="G15" s="7">
        <v>2836.34</v>
      </c>
      <c r="H15" s="7">
        <v>5019.01</v>
      </c>
      <c r="I15" s="5">
        <v>0</v>
      </c>
      <c r="J15" s="5">
        <v>0</v>
      </c>
      <c r="K15" s="7">
        <f t="shared" si="0"/>
        <v>106551.78</v>
      </c>
      <c r="L15" s="7"/>
    </row>
    <row r="16" spans="1:12" x14ac:dyDescent="0.15">
      <c r="A16" s="6" t="s">
        <v>52</v>
      </c>
      <c r="B16" s="7">
        <v>75155.740000000005</v>
      </c>
      <c r="C16" s="7">
        <v>16479.759999999998</v>
      </c>
      <c r="D16" s="7">
        <v>2197.15</v>
      </c>
      <c r="E16" s="7">
        <v>4711.13</v>
      </c>
      <c r="F16" s="7">
        <v>291.06</v>
      </c>
      <c r="G16" s="7">
        <v>1275.28</v>
      </c>
      <c r="H16" s="7">
        <v>5023.78</v>
      </c>
      <c r="I16" s="5">
        <v>0</v>
      </c>
      <c r="J16" s="5">
        <v>0</v>
      </c>
      <c r="K16" s="7">
        <f t="shared" si="0"/>
        <v>105133.9</v>
      </c>
      <c r="L16" s="7" t="s">
        <v>53</v>
      </c>
    </row>
    <row r="17" spans="1:12" x14ac:dyDescent="0.15">
      <c r="A17" s="6" t="s">
        <v>54</v>
      </c>
      <c r="B17" s="7">
        <v>78350.62</v>
      </c>
      <c r="C17" s="7">
        <v>16479.759999999998</v>
      </c>
      <c r="D17" s="7">
        <v>2197.15</v>
      </c>
      <c r="E17" s="7">
        <v>4165.46</v>
      </c>
      <c r="F17" s="7">
        <v>5.28</v>
      </c>
      <c r="G17" s="7">
        <v>872.97</v>
      </c>
      <c r="H17" s="7">
        <v>5026.54</v>
      </c>
      <c r="I17" s="5">
        <v>0</v>
      </c>
      <c r="J17" s="5">
        <v>0</v>
      </c>
      <c r="K17" s="7">
        <f t="shared" si="0"/>
        <v>107097.77999999998</v>
      </c>
      <c r="L17" s="7"/>
    </row>
    <row r="18" spans="1:12" x14ac:dyDescent="0.15">
      <c r="A18" s="6" t="s">
        <v>55</v>
      </c>
      <c r="B18" s="7">
        <v>80513.62</v>
      </c>
      <c r="C18" s="7">
        <v>14479.76</v>
      </c>
      <c r="D18" s="7">
        <v>2197.15</v>
      </c>
      <c r="E18" s="7">
        <v>4115.76</v>
      </c>
      <c r="F18" s="7">
        <v>5.28</v>
      </c>
      <c r="G18" s="7">
        <v>441.13</v>
      </c>
      <c r="H18" s="7">
        <v>4096.34</v>
      </c>
      <c r="I18" s="5">
        <v>0</v>
      </c>
      <c r="J18" s="5">
        <v>0</v>
      </c>
      <c r="K18" s="7">
        <f t="shared" si="0"/>
        <v>105849.03999999998</v>
      </c>
      <c r="L18" s="7" t="s">
        <v>56</v>
      </c>
    </row>
    <row r="19" spans="1:12" x14ac:dyDescent="0.15">
      <c r="A19" s="6" t="s">
        <v>57</v>
      </c>
      <c r="B19" s="7">
        <v>80513.62</v>
      </c>
      <c r="C19" s="7">
        <v>19060.82</v>
      </c>
      <c r="D19" s="7">
        <v>2197.15</v>
      </c>
      <c r="E19" s="7">
        <v>4075.96</v>
      </c>
      <c r="F19" s="7">
        <v>5.28</v>
      </c>
      <c r="G19" s="7">
        <v>336.85</v>
      </c>
      <c r="H19" s="7">
        <v>4097.88</v>
      </c>
      <c r="I19" s="5">
        <v>0</v>
      </c>
      <c r="J19" s="5">
        <v>0</v>
      </c>
      <c r="K19" s="7">
        <f t="shared" si="0"/>
        <v>110287.56000000001</v>
      </c>
      <c r="L19" s="7" t="s">
        <v>58</v>
      </c>
    </row>
    <row r="20" spans="1:12" x14ac:dyDescent="0.15">
      <c r="A20" s="6" t="s">
        <v>59</v>
      </c>
      <c r="B20" s="7">
        <v>83983.82</v>
      </c>
      <c r="C20" s="7">
        <v>20060.82</v>
      </c>
      <c r="D20" s="7">
        <v>2197.15</v>
      </c>
      <c r="E20" s="7">
        <v>3303.58</v>
      </c>
      <c r="F20" s="7">
        <v>17.14</v>
      </c>
      <c r="G20" s="7">
        <v>4.8</v>
      </c>
      <c r="H20" s="7">
        <v>1469.95</v>
      </c>
      <c r="I20" s="5">
        <v>0</v>
      </c>
      <c r="J20" s="5">
        <v>0</v>
      </c>
      <c r="K20" s="7">
        <f t="shared" si="0"/>
        <v>111037.26000000001</v>
      </c>
      <c r="L20" s="7"/>
    </row>
    <row r="21" spans="1:12" x14ac:dyDescent="0.15">
      <c r="A21" s="6" t="s">
        <v>60</v>
      </c>
      <c r="B21" s="7">
        <v>87257.01</v>
      </c>
      <c r="C21" s="7">
        <v>28397.040000000001</v>
      </c>
      <c r="D21" s="7">
        <v>2197.15</v>
      </c>
      <c r="E21" s="7">
        <v>2927.94</v>
      </c>
      <c r="F21" s="7">
        <v>12.49</v>
      </c>
      <c r="G21" s="7">
        <v>4.83</v>
      </c>
      <c r="H21" s="7">
        <v>363.06</v>
      </c>
      <c r="I21" s="5">
        <v>0</v>
      </c>
      <c r="J21" s="5">
        <v>0</v>
      </c>
      <c r="K21" s="7">
        <f t="shared" si="0"/>
        <v>121159.51999999999</v>
      </c>
      <c r="L21" s="7" t="s">
        <v>61</v>
      </c>
    </row>
    <row r="22" spans="1:12" x14ac:dyDescent="0.15">
      <c r="A22" s="6" t="s">
        <v>62</v>
      </c>
      <c r="B22" s="7">
        <v>90682.75</v>
      </c>
      <c r="C22" s="7">
        <v>27091.32</v>
      </c>
      <c r="D22" s="7">
        <v>2197.15</v>
      </c>
      <c r="E22" s="7">
        <v>2859.94</v>
      </c>
      <c r="F22" s="7">
        <v>12.49</v>
      </c>
      <c r="G22" s="7">
        <v>163.68</v>
      </c>
      <c r="H22" s="7">
        <v>0</v>
      </c>
      <c r="I22" s="5">
        <v>0</v>
      </c>
      <c r="J22" s="5">
        <v>0</v>
      </c>
      <c r="K22" s="7">
        <f t="shared" si="0"/>
        <v>123007.33</v>
      </c>
      <c r="L22" s="7"/>
    </row>
    <row r="23" spans="1:12" x14ac:dyDescent="0.15">
      <c r="A23" s="6" t="s">
        <v>63</v>
      </c>
      <c r="B23" s="7">
        <v>91118.99</v>
      </c>
      <c r="C23" s="7">
        <v>27049.4</v>
      </c>
      <c r="D23" s="7">
        <v>2197.15</v>
      </c>
      <c r="E23" s="7">
        <v>2602.1999999999998</v>
      </c>
      <c r="F23" s="7">
        <v>0.59</v>
      </c>
      <c r="G23" s="7">
        <v>16.89</v>
      </c>
      <c r="H23" s="7">
        <v>0</v>
      </c>
      <c r="I23" s="5">
        <v>0</v>
      </c>
      <c r="J23" s="5">
        <v>0</v>
      </c>
      <c r="K23" s="7">
        <f t="shared" si="0"/>
        <v>122985.22</v>
      </c>
      <c r="L23" s="7" t="s">
        <v>64</v>
      </c>
    </row>
    <row r="24" spans="1:12" x14ac:dyDescent="0.15">
      <c r="A24" s="6" t="s">
        <v>65</v>
      </c>
      <c r="B24" s="7">
        <v>94634.240000000005</v>
      </c>
      <c r="C24" s="7">
        <v>29779.94</v>
      </c>
      <c r="D24" s="7">
        <v>2197.15</v>
      </c>
      <c r="E24" s="7">
        <v>2538.6999999999998</v>
      </c>
      <c r="F24" s="7">
        <v>0.59</v>
      </c>
      <c r="G24" s="7">
        <v>9.11</v>
      </c>
      <c r="H24" s="7">
        <v>0</v>
      </c>
      <c r="I24" s="5">
        <v>0</v>
      </c>
      <c r="J24" s="5">
        <v>0</v>
      </c>
      <c r="K24" s="7">
        <f t="shared" si="0"/>
        <v>129159.73</v>
      </c>
      <c r="L24" s="7"/>
    </row>
    <row r="25" spans="1:12" x14ac:dyDescent="0.15">
      <c r="A25" s="6" t="s">
        <v>66</v>
      </c>
      <c r="B25" s="7">
        <v>93293.96</v>
      </c>
      <c r="C25" s="7">
        <v>32495.35</v>
      </c>
      <c r="D25" s="7">
        <v>2197.15</v>
      </c>
      <c r="E25" s="7">
        <v>2480.12</v>
      </c>
      <c r="F25" s="7">
        <v>0.59</v>
      </c>
      <c r="G25" s="7">
        <v>168.61</v>
      </c>
      <c r="H25" s="7">
        <v>0</v>
      </c>
      <c r="I25" s="5">
        <v>0</v>
      </c>
      <c r="J25" s="5">
        <v>0</v>
      </c>
      <c r="K25" s="7">
        <f t="shared" si="0"/>
        <v>130635.77999999998</v>
      </c>
      <c r="L25" s="7" t="s">
        <v>67</v>
      </c>
    </row>
    <row r="26" spans="1:12" x14ac:dyDescent="0.15">
      <c r="A26" s="6" t="s">
        <v>68</v>
      </c>
      <c r="B26" s="7">
        <v>100590.01</v>
      </c>
      <c r="C26" s="7">
        <v>30011.43</v>
      </c>
      <c r="D26" s="7">
        <v>2000.35</v>
      </c>
      <c r="E26" s="7">
        <v>2002.7</v>
      </c>
      <c r="F26" s="7">
        <v>0.59</v>
      </c>
      <c r="G26" s="7">
        <v>39.74</v>
      </c>
      <c r="H26" s="7">
        <v>0</v>
      </c>
      <c r="I26" s="5">
        <v>0</v>
      </c>
      <c r="J26" s="5">
        <v>0</v>
      </c>
      <c r="K26" s="7">
        <f t="shared" si="0"/>
        <v>134644.82</v>
      </c>
      <c r="L26" s="7"/>
    </row>
    <row r="27" spans="1:12" x14ac:dyDescent="0.15">
      <c r="A27" s="6" t="s">
        <v>69</v>
      </c>
      <c r="B27" s="7">
        <v>100450.72</v>
      </c>
      <c r="C27" s="7">
        <v>35582.620000000003</v>
      </c>
      <c r="D27" s="7">
        <v>2000.35</v>
      </c>
      <c r="E27" s="7">
        <v>2002.7</v>
      </c>
      <c r="F27" s="7">
        <v>0.59</v>
      </c>
      <c r="G27" s="7">
        <v>73.34</v>
      </c>
      <c r="H27" s="7">
        <v>0</v>
      </c>
      <c r="I27" s="5">
        <v>0</v>
      </c>
      <c r="J27" s="5">
        <v>0</v>
      </c>
      <c r="K27" s="7">
        <f t="shared" si="0"/>
        <v>140110.32</v>
      </c>
      <c r="L27" s="7" t="s">
        <v>70</v>
      </c>
    </row>
    <row r="28" spans="1:12" x14ac:dyDescent="0.15">
      <c r="A28" s="6" t="s">
        <v>71</v>
      </c>
      <c r="B28" s="7">
        <v>106509.64</v>
      </c>
      <c r="C28" s="7">
        <v>33480.720000000001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5">
        <v>0</v>
      </c>
      <c r="J28" s="5">
        <v>0</v>
      </c>
      <c r="K28" s="7">
        <f t="shared" si="0"/>
        <v>139990.35999999999</v>
      </c>
      <c r="L28" s="7" t="s">
        <v>72</v>
      </c>
    </row>
    <row r="29" spans="1:12" x14ac:dyDescent="0.15">
      <c r="A29" s="6" t="s">
        <v>73</v>
      </c>
      <c r="B29" s="7">
        <v>106380.17</v>
      </c>
      <c r="C29" s="7">
        <v>37631.410000000003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5">
        <v>0</v>
      </c>
      <c r="J29" s="5">
        <v>0</v>
      </c>
      <c r="K29" s="7">
        <f t="shared" si="0"/>
        <v>144011.58000000002</v>
      </c>
      <c r="L29" s="7"/>
    </row>
    <row r="30" spans="1:12" x14ac:dyDescent="0.15">
      <c r="A30" s="6" t="s">
        <v>74</v>
      </c>
      <c r="B30" s="7">
        <v>108059.53</v>
      </c>
      <c r="C30" s="7">
        <v>34634.19</v>
      </c>
      <c r="D30" s="7">
        <v>0</v>
      </c>
      <c r="E30" s="7">
        <v>125.1</v>
      </c>
      <c r="F30" s="7">
        <v>0</v>
      </c>
      <c r="G30" s="7">
        <v>0</v>
      </c>
      <c r="H30" s="7">
        <v>0</v>
      </c>
      <c r="I30" s="5">
        <v>0</v>
      </c>
      <c r="J30" s="5">
        <v>0</v>
      </c>
      <c r="K30" s="7">
        <f t="shared" si="0"/>
        <v>142818.82</v>
      </c>
      <c r="L30" s="7" t="s">
        <v>75</v>
      </c>
    </row>
    <row r="31" spans="1:12" x14ac:dyDescent="0.15">
      <c r="A31" s="6" t="s">
        <v>76</v>
      </c>
      <c r="B31" s="7">
        <v>106636.53</v>
      </c>
      <c r="C31" s="7">
        <v>38407.72</v>
      </c>
      <c r="D31" s="7">
        <v>0</v>
      </c>
      <c r="E31" s="7">
        <v>144.9</v>
      </c>
      <c r="F31" s="7">
        <v>0</v>
      </c>
      <c r="G31" s="7">
        <v>0</v>
      </c>
      <c r="H31" s="7">
        <v>0</v>
      </c>
      <c r="I31" s="5">
        <v>0</v>
      </c>
      <c r="J31" s="5">
        <v>0</v>
      </c>
      <c r="K31" s="7">
        <f t="shared" si="0"/>
        <v>145189.15</v>
      </c>
      <c r="L31" s="7" t="s">
        <v>77</v>
      </c>
    </row>
    <row r="32" spans="1:12" x14ac:dyDescent="0.15">
      <c r="A32" s="9" t="s">
        <v>78</v>
      </c>
      <c r="B32" s="10">
        <v>112640.07</v>
      </c>
      <c r="C32" s="10">
        <v>40396.78</v>
      </c>
      <c r="D32" s="10">
        <v>0</v>
      </c>
      <c r="E32" s="10">
        <v>144.9</v>
      </c>
      <c r="F32" s="10">
        <v>0</v>
      </c>
      <c r="G32" s="10">
        <v>800</v>
      </c>
      <c r="H32" s="10">
        <v>0</v>
      </c>
      <c r="I32" s="5">
        <v>0</v>
      </c>
      <c r="J32" s="5">
        <v>0</v>
      </c>
      <c r="K32" s="10">
        <f t="shared" si="0"/>
        <v>153981.75</v>
      </c>
      <c r="L32" s="10" t="s">
        <v>79</v>
      </c>
    </row>
    <row r="33" spans="1:12" x14ac:dyDescent="0.15">
      <c r="A33" s="11" t="s">
        <v>80</v>
      </c>
      <c r="B33" s="10">
        <v>117217.8</v>
      </c>
      <c r="C33" s="10">
        <v>41771.75</v>
      </c>
      <c r="D33" s="10">
        <v>0</v>
      </c>
      <c r="E33" s="10">
        <v>114.93</v>
      </c>
      <c r="F33" s="10">
        <v>0</v>
      </c>
      <c r="G33" s="10">
        <v>0</v>
      </c>
      <c r="H33" s="10">
        <v>0</v>
      </c>
      <c r="I33" s="5">
        <v>2694.61</v>
      </c>
      <c r="J33" s="5">
        <v>0</v>
      </c>
      <c r="K33" s="10">
        <f t="shared" si="0"/>
        <v>161799.08999999997</v>
      </c>
      <c r="L33" s="10" t="s">
        <v>81</v>
      </c>
    </row>
    <row r="34" spans="1:12" x14ac:dyDescent="0.15">
      <c r="A34" s="11" t="s">
        <v>82</v>
      </c>
      <c r="B34" s="10">
        <v>132182.20000000001</v>
      </c>
      <c r="C34" s="10">
        <v>43982.26</v>
      </c>
      <c r="D34" s="10">
        <v>0</v>
      </c>
      <c r="E34" s="10">
        <v>0</v>
      </c>
      <c r="F34" s="10">
        <v>0</v>
      </c>
      <c r="G34" s="10">
        <v>138.97</v>
      </c>
      <c r="H34" s="10">
        <v>0</v>
      </c>
      <c r="I34" s="10">
        <v>0</v>
      </c>
      <c r="J34" s="5">
        <v>0</v>
      </c>
      <c r="K34" s="10">
        <f t="shared" si="0"/>
        <v>176303.43000000002</v>
      </c>
      <c r="L34" s="10" t="s">
        <v>83</v>
      </c>
    </row>
    <row r="35" spans="1:12" x14ac:dyDescent="0.15">
      <c r="A35" s="11" t="s">
        <v>84</v>
      </c>
      <c r="B35" s="10">
        <v>135957.76000000001</v>
      </c>
      <c r="C35" s="10">
        <v>49334.98</v>
      </c>
      <c r="D35" s="10">
        <v>0</v>
      </c>
      <c r="E35" s="10">
        <v>0</v>
      </c>
      <c r="F35" s="10">
        <v>0</v>
      </c>
      <c r="G35" s="10">
        <v>1.41</v>
      </c>
      <c r="H35" s="10">
        <v>0</v>
      </c>
      <c r="I35" s="10">
        <v>0</v>
      </c>
      <c r="J35" s="5">
        <v>0</v>
      </c>
      <c r="K35" s="10">
        <f t="shared" si="0"/>
        <v>185294.15000000002</v>
      </c>
      <c r="L35" s="10" t="s">
        <v>85</v>
      </c>
    </row>
    <row r="36" spans="1:12" x14ac:dyDescent="0.15">
      <c r="A36" s="11" t="s">
        <v>86</v>
      </c>
      <c r="B36" s="10">
        <v>140115.41</v>
      </c>
      <c r="C36" s="10">
        <v>49317.98</v>
      </c>
      <c r="D36" s="10">
        <v>0</v>
      </c>
      <c r="E36" s="10">
        <v>0</v>
      </c>
      <c r="F36" s="10">
        <v>0</v>
      </c>
      <c r="G36" s="10">
        <v>1.41</v>
      </c>
      <c r="H36" s="10">
        <v>0</v>
      </c>
      <c r="I36" s="10">
        <v>0</v>
      </c>
      <c r="J36" s="5">
        <v>0</v>
      </c>
      <c r="K36" s="10">
        <f t="shared" si="0"/>
        <v>189434.80000000002</v>
      </c>
      <c r="L36" s="10" t="s">
        <v>87</v>
      </c>
    </row>
    <row r="37" spans="1:12" x14ac:dyDescent="0.15">
      <c r="A37" s="11" t="s">
        <v>88</v>
      </c>
      <c r="B37" s="10">
        <v>144627.25</v>
      </c>
      <c r="C37" s="10">
        <v>54202.45</v>
      </c>
      <c r="D37" s="10">
        <v>0</v>
      </c>
      <c r="E37" s="10">
        <v>0</v>
      </c>
      <c r="F37" s="10">
        <v>0</v>
      </c>
      <c r="G37" s="10">
        <v>1.41</v>
      </c>
      <c r="H37" s="10">
        <v>0</v>
      </c>
      <c r="I37" s="10">
        <v>0</v>
      </c>
      <c r="J37" s="5">
        <v>0</v>
      </c>
      <c r="K37" s="10">
        <f t="shared" si="0"/>
        <v>198831.11000000002</v>
      </c>
      <c r="L37" s="10" t="s">
        <v>89</v>
      </c>
    </row>
    <row r="38" spans="1:12" x14ac:dyDescent="0.15">
      <c r="A38" s="11" t="s">
        <v>90</v>
      </c>
      <c r="B38" s="10">
        <v>114929.83</v>
      </c>
      <c r="C38" s="10">
        <v>3803.78</v>
      </c>
      <c r="D38" s="10">
        <v>0</v>
      </c>
      <c r="E38" s="10">
        <v>0</v>
      </c>
      <c r="F38" s="10">
        <v>0</v>
      </c>
      <c r="G38" s="10">
        <v>13.33</v>
      </c>
      <c r="H38" s="10">
        <v>0</v>
      </c>
      <c r="I38" s="10">
        <v>0</v>
      </c>
      <c r="J38" s="5">
        <v>0</v>
      </c>
      <c r="K38" s="10">
        <f t="shared" si="0"/>
        <v>118746.94</v>
      </c>
      <c r="L38" s="10" t="s">
        <v>91</v>
      </c>
    </row>
    <row r="39" spans="1:12" x14ac:dyDescent="0.15">
      <c r="A39" s="12" t="s">
        <v>92</v>
      </c>
      <c r="B39" s="7">
        <v>100366.23</v>
      </c>
      <c r="C39" s="7">
        <v>2334.9899999999998</v>
      </c>
      <c r="D39" s="7">
        <v>3000.24</v>
      </c>
      <c r="E39" s="7">
        <v>1.1000000000000001</v>
      </c>
      <c r="F39" s="7">
        <v>0.59</v>
      </c>
      <c r="G39" s="7">
        <v>11677.18</v>
      </c>
      <c r="H39" s="7">
        <v>30000.83</v>
      </c>
      <c r="I39" s="13">
        <v>39125.58</v>
      </c>
      <c r="J39" s="5">
        <v>0</v>
      </c>
      <c r="K39" s="7">
        <f t="shared" si="0"/>
        <v>186506.74000000005</v>
      </c>
      <c r="L39" s="14" t="s">
        <v>93</v>
      </c>
    </row>
    <row r="40" spans="1:12" x14ac:dyDescent="0.15">
      <c r="A40" s="12" t="s">
        <v>94</v>
      </c>
      <c r="B40" s="7">
        <v>115366.23</v>
      </c>
      <c r="C40" s="7">
        <v>2334.9899999999998</v>
      </c>
      <c r="D40" s="7">
        <v>3000.24</v>
      </c>
      <c r="E40" s="7">
        <v>1.1000000000000001</v>
      </c>
      <c r="F40" s="7">
        <v>0.59</v>
      </c>
      <c r="G40" s="8">
        <v>4537.8999999999996</v>
      </c>
      <c r="H40" s="7">
        <v>30006.15</v>
      </c>
      <c r="I40" s="13">
        <v>46446.48</v>
      </c>
      <c r="J40" s="5">
        <v>0</v>
      </c>
      <c r="K40" s="7">
        <f t="shared" si="0"/>
        <v>201693.68000000002</v>
      </c>
      <c r="L40" s="14" t="s">
        <v>95</v>
      </c>
    </row>
    <row r="41" spans="1:12" x14ac:dyDescent="0.15">
      <c r="A41" s="15" t="s">
        <v>96</v>
      </c>
      <c r="B41" s="7">
        <v>104837.68</v>
      </c>
      <c r="C41" s="7">
        <v>3439.17</v>
      </c>
      <c r="D41" s="7">
        <v>6000.24</v>
      </c>
      <c r="E41" s="7">
        <v>1.1000000000000001</v>
      </c>
      <c r="F41" s="7">
        <v>0.59</v>
      </c>
      <c r="G41" s="7">
        <v>3105.96</v>
      </c>
      <c r="H41" s="7">
        <v>20985.93</v>
      </c>
      <c r="I41" s="13">
        <v>69099.990000000005</v>
      </c>
      <c r="J41" s="5">
        <v>0</v>
      </c>
      <c r="K41" s="7">
        <f t="shared" si="0"/>
        <v>207470.66000000003</v>
      </c>
      <c r="L41" s="16" t="s">
        <v>97</v>
      </c>
    </row>
    <row r="42" spans="1:12" x14ac:dyDescent="0.15">
      <c r="A42" s="18" t="s">
        <v>103</v>
      </c>
      <c r="B42" s="19">
        <v>107071.15</v>
      </c>
      <c r="C42" s="19">
        <v>3112.55</v>
      </c>
      <c r="D42" s="19">
        <v>36000.239999999998</v>
      </c>
      <c r="E42" s="19">
        <v>1.1000000000000001</v>
      </c>
      <c r="F42" s="19">
        <v>0.59</v>
      </c>
      <c r="G42" s="19">
        <v>3158.22</v>
      </c>
      <c r="H42" s="19">
        <v>15000</v>
      </c>
      <c r="I42" s="17">
        <v>75394.64</v>
      </c>
      <c r="J42" s="5">
        <v>0</v>
      </c>
      <c r="K42" s="19">
        <f t="shared" si="0"/>
        <v>239738.49</v>
      </c>
      <c r="L42" s="17" t="s">
        <v>104</v>
      </c>
    </row>
    <row r="43" spans="1:12" x14ac:dyDescent="0.15">
      <c r="A43" s="18" t="s">
        <v>105</v>
      </c>
      <c r="B43" s="19">
        <v>125531.23</v>
      </c>
      <c r="C43" s="19">
        <v>5815.43</v>
      </c>
      <c r="D43" s="19">
        <v>42000.24</v>
      </c>
      <c r="E43" s="19">
        <v>1.1000000000000001</v>
      </c>
      <c r="F43" s="19">
        <v>0.59</v>
      </c>
      <c r="G43" s="19">
        <v>1304.69</v>
      </c>
      <c r="H43" s="19">
        <v>5000.4399999999996</v>
      </c>
      <c r="I43" s="17">
        <v>73823.11</v>
      </c>
      <c r="J43" s="5">
        <v>0</v>
      </c>
      <c r="K43" s="19">
        <f t="shared" si="0"/>
        <v>253476.83000000002</v>
      </c>
      <c r="L43" s="17" t="s">
        <v>106</v>
      </c>
    </row>
    <row r="44" spans="1:12" x14ac:dyDescent="0.15">
      <c r="A44" s="20" t="s">
        <v>107</v>
      </c>
      <c r="B44" s="21">
        <v>127881.23</v>
      </c>
      <c r="C44" s="21">
        <v>5735.23</v>
      </c>
      <c r="D44" s="21">
        <v>42000.24</v>
      </c>
      <c r="E44" s="21">
        <v>1.1000000000000001</v>
      </c>
      <c r="F44" s="21">
        <v>0.59</v>
      </c>
      <c r="G44" s="21">
        <v>36.22</v>
      </c>
      <c r="H44" s="21">
        <v>4841.4399999999996</v>
      </c>
      <c r="I44" s="13">
        <v>76292.97</v>
      </c>
      <c r="J44" s="5">
        <v>0</v>
      </c>
      <c r="K44" s="21">
        <f t="shared" si="0"/>
        <v>256789.02</v>
      </c>
      <c r="L44" s="22" t="s">
        <v>108</v>
      </c>
    </row>
    <row r="45" spans="1:12" x14ac:dyDescent="0.15">
      <c r="A45" s="18" t="s">
        <v>110</v>
      </c>
      <c r="B45" s="19">
        <v>107988.16</v>
      </c>
      <c r="C45" s="19">
        <v>5475.17</v>
      </c>
      <c r="D45" s="19">
        <v>12000.24</v>
      </c>
      <c r="E45" s="19">
        <v>1.1000000000000001</v>
      </c>
      <c r="F45" s="19">
        <v>0.59</v>
      </c>
      <c r="G45" s="19">
        <v>389.03</v>
      </c>
      <c r="H45" s="19">
        <v>0.03</v>
      </c>
      <c r="I45" s="17">
        <v>75416.240000000005</v>
      </c>
      <c r="J45" s="17">
        <v>57544.38</v>
      </c>
      <c r="K45" s="19">
        <f t="shared" si="0"/>
        <v>258814.94</v>
      </c>
      <c r="L45" s="17" t="s">
        <v>111</v>
      </c>
    </row>
    <row r="46" spans="1:12" x14ac:dyDescent="0.15">
      <c r="A46" s="18" t="s">
        <v>112</v>
      </c>
      <c r="B46" s="10">
        <v>111723.17</v>
      </c>
      <c r="C46" s="10">
        <v>457.87</v>
      </c>
      <c r="D46" s="10">
        <v>12002.37</v>
      </c>
      <c r="E46" s="10">
        <v>1.1000000000000001</v>
      </c>
      <c r="F46" s="10">
        <v>0.59</v>
      </c>
      <c r="G46" s="10">
        <v>1805.39</v>
      </c>
      <c r="H46" s="10">
        <v>0.03</v>
      </c>
      <c r="I46" s="13">
        <v>60663.15</v>
      </c>
      <c r="J46" s="13">
        <v>45391.21</v>
      </c>
      <c r="K46" s="10">
        <f>SUM(B46:J46)</f>
        <v>232044.87999999998</v>
      </c>
      <c r="L46" s="17" t="s">
        <v>113</v>
      </c>
    </row>
    <row r="47" spans="1:12" x14ac:dyDescent="0.15">
      <c r="A47" s="18" t="s">
        <v>114</v>
      </c>
      <c r="B47" s="10">
        <v>116934.17</v>
      </c>
      <c r="C47" s="10">
        <v>56.1</v>
      </c>
      <c r="D47" s="10">
        <v>12002.37</v>
      </c>
      <c r="E47" s="10">
        <v>1.1000000000000001</v>
      </c>
      <c r="F47" s="10">
        <v>0.59</v>
      </c>
      <c r="G47" s="10">
        <v>366.19</v>
      </c>
      <c r="H47" s="10">
        <v>0.03</v>
      </c>
      <c r="I47" s="13">
        <v>53523.040000000001</v>
      </c>
      <c r="J47" s="13">
        <v>46213.36</v>
      </c>
      <c r="K47" s="10">
        <f>SUM(B47:J47)</f>
        <v>229096.95</v>
      </c>
      <c r="L47" s="17" t="s">
        <v>115</v>
      </c>
    </row>
    <row r="48" spans="1:12" x14ac:dyDescent="0.15">
      <c r="A48" s="18" t="s">
        <v>116</v>
      </c>
      <c r="B48" s="10">
        <v>116934.17</v>
      </c>
      <c r="C48" s="10">
        <v>5369.53</v>
      </c>
      <c r="D48" s="10">
        <v>12002.37</v>
      </c>
      <c r="E48" s="10">
        <v>1.1000000000000001</v>
      </c>
      <c r="F48" s="10">
        <v>0.59</v>
      </c>
      <c r="G48" s="10">
        <v>248.09</v>
      </c>
      <c r="H48" s="10">
        <v>0.03</v>
      </c>
      <c r="I48" s="13">
        <v>56720.7</v>
      </c>
      <c r="J48" s="13">
        <v>45111.56</v>
      </c>
      <c r="K48" s="10">
        <f>SUM(B48:J48)</f>
        <v>236388.14</v>
      </c>
      <c r="L48" s="17" t="s">
        <v>148</v>
      </c>
    </row>
    <row r="49" spans="1:12" x14ac:dyDescent="0.15">
      <c r="A49" s="27" t="s">
        <v>149</v>
      </c>
      <c r="B49" s="10">
        <v>128934.17</v>
      </c>
      <c r="C49" s="10">
        <v>3138.84</v>
      </c>
      <c r="D49" s="10">
        <v>4.2</v>
      </c>
      <c r="E49" s="10">
        <v>1.1000000000000001</v>
      </c>
      <c r="F49" s="10">
        <v>0.59</v>
      </c>
      <c r="G49" s="10">
        <v>65.19</v>
      </c>
      <c r="H49" s="10">
        <v>0.03</v>
      </c>
      <c r="I49" s="13">
        <v>58470.35</v>
      </c>
      <c r="J49" s="13">
        <v>41287.160000000003</v>
      </c>
      <c r="K49" s="28">
        <f>SUM(B49:J49)</f>
        <v>231901.63000000003</v>
      </c>
      <c r="L49" s="13"/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A7" sqref="A7"/>
    </sheetView>
  </sheetViews>
  <sheetFormatPr defaultColWidth="9" defaultRowHeight="13.5" x14ac:dyDescent="0.15"/>
  <cols>
    <col min="1" max="2" width="15" style="1" customWidth="1"/>
    <col min="3" max="4" width="14.5" style="1" customWidth="1"/>
    <col min="5" max="5" width="17" style="1" customWidth="1"/>
    <col min="6" max="6" width="15.5" style="1" customWidth="1"/>
    <col min="7" max="7" width="17.125" style="1" customWidth="1"/>
    <col min="8" max="16384" width="9" style="1"/>
  </cols>
  <sheetData>
    <row r="1" spans="1:8" x14ac:dyDescent="0.15">
      <c r="A1" s="24" t="s">
        <v>130</v>
      </c>
      <c r="B1" s="24" t="s">
        <v>117</v>
      </c>
      <c r="C1" s="24" t="s">
        <v>118</v>
      </c>
      <c r="D1" s="24" t="s">
        <v>124</v>
      </c>
      <c r="E1" s="24" t="s">
        <v>125</v>
      </c>
      <c r="F1" s="1" t="s">
        <v>98</v>
      </c>
      <c r="G1" s="1" t="s">
        <v>99</v>
      </c>
      <c r="H1" s="24" t="s">
        <v>128</v>
      </c>
    </row>
    <row r="2" spans="1:8" x14ac:dyDescent="0.15">
      <c r="A2" s="24" t="s">
        <v>131</v>
      </c>
      <c r="B2" s="1" t="s">
        <v>100</v>
      </c>
      <c r="C2" s="24" t="s">
        <v>119</v>
      </c>
      <c r="D2" s="1">
        <v>30000</v>
      </c>
      <c r="E2" s="24">
        <v>3</v>
      </c>
      <c r="F2" s="2">
        <v>2.8500000000000001E-2</v>
      </c>
      <c r="G2" s="1">
        <f>D2*E2*F2</f>
        <v>2565</v>
      </c>
    </row>
    <row r="3" spans="1:8" x14ac:dyDescent="0.15">
      <c r="A3" s="24" t="s">
        <v>131</v>
      </c>
      <c r="B3" s="1" t="s">
        <v>100</v>
      </c>
      <c r="C3" s="24" t="s">
        <v>120</v>
      </c>
      <c r="D3" s="1">
        <v>20000</v>
      </c>
      <c r="E3" s="24">
        <v>2</v>
      </c>
      <c r="F3" s="2">
        <v>2.3E-2</v>
      </c>
      <c r="G3" s="1">
        <f t="shared" ref="G3:G6" si="0">D3*E3*F3</f>
        <v>920</v>
      </c>
    </row>
    <row r="4" spans="1:8" x14ac:dyDescent="0.15">
      <c r="A4" s="24" t="s">
        <v>131</v>
      </c>
      <c r="B4" s="1" t="s">
        <v>38</v>
      </c>
      <c r="C4" s="24" t="s">
        <v>121</v>
      </c>
      <c r="D4" s="1">
        <v>10000</v>
      </c>
      <c r="E4" s="1">
        <v>1</v>
      </c>
      <c r="F4" s="2">
        <v>1.9E-2</v>
      </c>
      <c r="G4" s="1">
        <f t="shared" si="0"/>
        <v>190</v>
      </c>
    </row>
    <row r="5" spans="1:8" x14ac:dyDescent="0.15">
      <c r="A5" s="24" t="s">
        <v>131</v>
      </c>
      <c r="B5" s="24" t="s">
        <v>122</v>
      </c>
      <c r="C5" s="24" t="s">
        <v>123</v>
      </c>
      <c r="D5" s="1">
        <v>40000</v>
      </c>
      <c r="E5" s="1">
        <v>3</v>
      </c>
      <c r="F5" s="2">
        <v>2.1499999999999998E-2</v>
      </c>
      <c r="G5" s="1">
        <f t="shared" si="0"/>
        <v>2580</v>
      </c>
    </row>
    <row r="6" spans="1:8" x14ac:dyDescent="0.15">
      <c r="A6" s="24" t="s">
        <v>131</v>
      </c>
      <c r="B6" s="24" t="s">
        <v>126</v>
      </c>
      <c r="C6" s="24" t="s">
        <v>127</v>
      </c>
      <c r="D6" s="1">
        <v>30000</v>
      </c>
      <c r="E6" s="1">
        <v>3</v>
      </c>
      <c r="F6" s="2">
        <v>1.55E-2</v>
      </c>
      <c r="G6" s="1">
        <f t="shared" si="0"/>
        <v>1395</v>
      </c>
      <c r="H6" s="24" t="s">
        <v>129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E20" sqref="E20"/>
    </sheetView>
  </sheetViews>
  <sheetFormatPr defaultColWidth="8.875" defaultRowHeight="13.5" x14ac:dyDescent="0.15"/>
  <cols>
    <col min="1" max="1" width="12.25" customWidth="1"/>
    <col min="2" max="2" width="11.5" customWidth="1"/>
    <col min="3" max="3" width="15.5" customWidth="1"/>
    <col min="4" max="4" width="12.25" customWidth="1"/>
    <col min="5" max="5" width="17.125" customWidth="1"/>
  </cols>
  <sheetData>
    <row r="1" spans="1:8" x14ac:dyDescent="0.15">
      <c r="A1" s="1" t="s">
        <v>101</v>
      </c>
      <c r="B1" s="24" t="s">
        <v>117</v>
      </c>
      <c r="C1" s="24" t="s">
        <v>118</v>
      </c>
      <c r="D1" s="24" t="s">
        <v>124</v>
      </c>
      <c r="E1" s="24" t="s">
        <v>132</v>
      </c>
      <c r="F1" s="1" t="s">
        <v>98</v>
      </c>
      <c r="G1" s="1" t="s">
        <v>99</v>
      </c>
      <c r="H1" s="1" t="s">
        <v>128</v>
      </c>
    </row>
    <row r="2" spans="1:8" x14ac:dyDescent="0.15">
      <c r="A2" s="1" t="s">
        <v>28</v>
      </c>
      <c r="B2" s="1" t="s">
        <v>37</v>
      </c>
      <c r="C2" s="24" t="s">
        <v>133</v>
      </c>
      <c r="D2" s="1">
        <v>2000</v>
      </c>
      <c r="E2" s="1">
        <v>1</v>
      </c>
      <c r="F2" s="2">
        <v>1.9E-2</v>
      </c>
      <c r="G2" s="1">
        <f>D2*E2*F2</f>
        <v>38</v>
      </c>
    </row>
    <row r="3" spans="1:8" x14ac:dyDescent="0.15">
      <c r="A3" s="1" t="s">
        <v>27</v>
      </c>
      <c r="B3" s="1" t="s">
        <v>37</v>
      </c>
      <c r="C3" s="24" t="s">
        <v>133</v>
      </c>
      <c r="D3" s="1">
        <v>2000</v>
      </c>
      <c r="E3" s="1">
        <v>1</v>
      </c>
      <c r="F3" s="2">
        <v>1.6500000000000001E-2</v>
      </c>
      <c r="G3" s="1">
        <f t="shared" ref="G3:G12" si="0">D3*E3*F3</f>
        <v>33</v>
      </c>
    </row>
    <row r="4" spans="1:8" x14ac:dyDescent="0.15">
      <c r="A4" s="1" t="s">
        <v>26</v>
      </c>
      <c r="B4" s="1" t="s">
        <v>37</v>
      </c>
      <c r="C4" s="24" t="s">
        <v>133</v>
      </c>
      <c r="D4" s="1">
        <v>1000</v>
      </c>
      <c r="E4" s="1">
        <v>1</v>
      </c>
      <c r="F4" s="2">
        <v>1.8499999999999999E-2</v>
      </c>
      <c r="G4" s="1">
        <f t="shared" si="0"/>
        <v>18.5</v>
      </c>
    </row>
    <row r="5" spans="1:8" x14ac:dyDescent="0.15">
      <c r="A5" s="1" t="s">
        <v>26</v>
      </c>
      <c r="B5" s="1" t="s">
        <v>41</v>
      </c>
      <c r="C5" s="24" t="s">
        <v>134</v>
      </c>
      <c r="D5" s="1">
        <v>1000</v>
      </c>
      <c r="E5" s="1">
        <v>1</v>
      </c>
      <c r="F5" s="2">
        <v>1.7500000000000002E-2</v>
      </c>
      <c r="G5" s="1">
        <f t="shared" si="0"/>
        <v>17.5</v>
      </c>
    </row>
    <row r="6" spans="1:8" x14ac:dyDescent="0.15">
      <c r="A6" s="1" t="s">
        <v>26</v>
      </c>
      <c r="B6" s="1" t="s">
        <v>102</v>
      </c>
      <c r="C6" s="24" t="s">
        <v>135</v>
      </c>
      <c r="D6" s="1">
        <v>2000</v>
      </c>
      <c r="E6" s="1">
        <v>1</v>
      </c>
      <c r="F6" s="2">
        <v>1.7500000000000002E-2</v>
      </c>
      <c r="G6" s="1">
        <f t="shared" si="0"/>
        <v>35</v>
      </c>
    </row>
    <row r="7" spans="1:8" x14ac:dyDescent="0.15">
      <c r="A7" s="1" t="s">
        <v>26</v>
      </c>
      <c r="B7" s="1" t="s">
        <v>45</v>
      </c>
      <c r="C7" s="24" t="s">
        <v>136</v>
      </c>
      <c r="D7" s="1">
        <v>3000</v>
      </c>
      <c r="E7" s="1">
        <v>1</v>
      </c>
      <c r="F7" s="2">
        <v>1.7500000000000002E-2</v>
      </c>
      <c r="G7" s="1">
        <f t="shared" si="0"/>
        <v>52.500000000000007</v>
      </c>
    </row>
    <row r="8" spans="1:8" x14ac:dyDescent="0.15">
      <c r="A8" s="1" t="s">
        <v>26</v>
      </c>
      <c r="B8" s="1" t="s">
        <v>50</v>
      </c>
      <c r="C8" s="24" t="s">
        <v>137</v>
      </c>
      <c r="D8" s="1">
        <v>4000</v>
      </c>
      <c r="E8" s="1">
        <v>1</v>
      </c>
      <c r="F8" s="2">
        <v>1.7500000000000002E-2</v>
      </c>
      <c r="G8" s="1">
        <f t="shared" si="0"/>
        <v>70</v>
      </c>
    </row>
    <row r="9" spans="1:8" x14ac:dyDescent="0.15">
      <c r="A9" s="24" t="s">
        <v>138</v>
      </c>
      <c r="B9" s="1" t="s">
        <v>139</v>
      </c>
      <c r="C9" s="24" t="s">
        <v>140</v>
      </c>
      <c r="D9" s="1">
        <v>3000</v>
      </c>
      <c r="E9" s="1">
        <v>1</v>
      </c>
      <c r="F9" s="26">
        <v>1.2999999999999999E-2</v>
      </c>
      <c r="G9" s="1">
        <f t="shared" si="0"/>
        <v>39</v>
      </c>
    </row>
    <row r="10" spans="1:8" x14ac:dyDescent="0.15">
      <c r="A10" s="24" t="s">
        <v>138</v>
      </c>
      <c r="B10" s="24" t="s">
        <v>141</v>
      </c>
      <c r="C10" s="24" t="s">
        <v>142</v>
      </c>
      <c r="D10" s="1">
        <v>3000</v>
      </c>
      <c r="E10" s="1">
        <v>1</v>
      </c>
      <c r="F10" s="26">
        <v>1.2999999999999999E-2</v>
      </c>
      <c r="G10" s="1">
        <f t="shared" si="0"/>
        <v>39</v>
      </c>
    </row>
    <row r="11" spans="1:8" x14ac:dyDescent="0.15">
      <c r="A11" s="24" t="s">
        <v>138</v>
      </c>
      <c r="B11" s="24" t="s">
        <v>143</v>
      </c>
      <c r="C11" s="24" t="s">
        <v>144</v>
      </c>
      <c r="D11" s="1">
        <v>3000</v>
      </c>
      <c r="E11" s="1">
        <v>1</v>
      </c>
      <c r="F11" s="26">
        <v>1.2999999999999999E-2</v>
      </c>
      <c r="G11" s="1">
        <f t="shared" si="0"/>
        <v>39</v>
      </c>
    </row>
    <row r="12" spans="1:8" x14ac:dyDescent="0.15">
      <c r="A12" s="24" t="s">
        <v>138</v>
      </c>
      <c r="B12" s="24" t="s">
        <v>145</v>
      </c>
      <c r="C12" s="24" t="s">
        <v>146</v>
      </c>
      <c r="D12" s="1">
        <v>3000</v>
      </c>
      <c r="E12" s="1">
        <v>1</v>
      </c>
      <c r="F12" s="26">
        <v>1.2999999999999999E-2</v>
      </c>
      <c r="G12" s="1">
        <f t="shared" si="0"/>
        <v>39</v>
      </c>
      <c r="H12" s="25" t="s">
        <v>147</v>
      </c>
    </row>
    <row r="13" spans="1:8" x14ac:dyDescent="0.15">
      <c r="A13" s="1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工资记录</vt:lpstr>
      <vt:lpstr>资产记录</vt:lpstr>
      <vt:lpstr>中行阶梯存款法试行</vt:lpstr>
      <vt:lpstr>12存单法试行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陈力</dc:creator>
  <cp:lastModifiedBy>力 陈</cp:lastModifiedBy>
  <dcterms:created xsi:type="dcterms:W3CDTF">2023-08-15T02:37:00Z</dcterms:created>
  <dcterms:modified xsi:type="dcterms:W3CDTF">2026-04-17T08:27:49Z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D348437A59714CA5BB20245A35E0FCF9_12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