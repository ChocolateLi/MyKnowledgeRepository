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2FC8D302-0835-406D-BCEE-334357AF98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交易记录" sheetId="1" r:id="rId1"/>
    <sheet name="交易统计" sheetId="2" r:id="rId2"/>
    <sheet name="2026年月度收益" sheetId="3" r:id="rId3"/>
    <sheet name="压力测试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9" i="1" l="1"/>
  <c r="P9" i="1"/>
  <c r="Q9" i="1"/>
  <c r="H9" i="1"/>
  <c r="I9" i="1"/>
  <c r="K9" i="1"/>
  <c r="L9" i="1"/>
  <c r="O9" i="1"/>
  <c r="N8" i="1"/>
  <c r="P8" i="1"/>
  <c r="Q8" i="1"/>
  <c r="H8" i="1"/>
  <c r="I8" i="1"/>
  <c r="K8" i="1"/>
  <c r="L8" i="1"/>
  <c r="O8" i="1"/>
  <c r="N4" i="1"/>
  <c r="N5" i="1"/>
  <c r="N6" i="1"/>
  <c r="L5" i="1"/>
  <c r="L3" i="1"/>
  <c r="L4" i="1"/>
  <c r="Q7" i="1"/>
  <c r="H7" i="1"/>
  <c r="I7" i="1"/>
  <c r="K7" i="1" s="1"/>
  <c r="Q5" i="1"/>
  <c r="Q6" i="1"/>
  <c r="P4" i="1"/>
  <c r="P5" i="1"/>
  <c r="P6" i="1"/>
  <c r="O4" i="1"/>
  <c r="O5" i="1"/>
  <c r="K3" i="1"/>
  <c r="K4" i="1"/>
  <c r="K5" i="1"/>
  <c r="K6" i="1"/>
  <c r="L6" i="1" s="1"/>
  <c r="H6" i="1"/>
  <c r="I6" i="1"/>
  <c r="H5" i="1"/>
  <c r="I5" i="1"/>
  <c r="B12" i="4"/>
  <c r="C12" i="4" s="1"/>
  <c r="D12" i="4" s="1"/>
  <c r="B5" i="3"/>
  <c r="D5" i="3" s="1"/>
  <c r="L2" i="1"/>
  <c r="K2" i="1"/>
  <c r="I4" i="1"/>
  <c r="Q4" i="1"/>
  <c r="H4" i="1"/>
  <c r="Q2" i="1"/>
  <c r="P2" i="1"/>
  <c r="O2" i="1"/>
  <c r="N2" i="1"/>
  <c r="I2" i="1"/>
  <c r="H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I3" i="1"/>
  <c r="H3" i="1"/>
  <c r="Q3" i="1" s="1"/>
  <c r="O7" i="1" l="1"/>
  <c r="N7" i="1"/>
  <c r="L7" i="1"/>
  <c r="P7" i="1"/>
  <c r="O6" i="1"/>
  <c r="B16" i="4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O3" i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N3" i="1"/>
  <c r="A13" i="2" s="1"/>
  <c r="P3" i="1"/>
  <c r="A6" i="2"/>
  <c r="A15" i="2" a="1"/>
  <c r="A15" i="2" s="1"/>
  <c r="A5" i="2" l="1"/>
  <c r="A11" i="2" s="1"/>
  <c r="A12" i="2" s="1"/>
  <c r="A10" i="2"/>
  <c r="A17" i="2"/>
  <c r="A7" i="2"/>
</calcChain>
</file>

<file path=xl/sharedStrings.xml><?xml version="1.0" encoding="utf-8"?>
<sst xmlns="http://schemas.openxmlformats.org/spreadsheetml/2006/main" count="130" uniqueCount="126">
  <si>
    <t>交易日期</t>
    <phoneticPr fontId="1" type="noConversion"/>
  </si>
  <si>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</si>
  <si>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</si>
  <si>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</si>
  <si>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</si>
  <si>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</si>
  <si>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</si>
  <si>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</si>
  <si>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</si>
  <si>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</si>
  <si>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</si>
  <si>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</si>
  <si>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</si>
  <si>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</si>
  <si>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</si>
  <si>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</si>
  <si>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</si>
  <si>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</si>
  <si>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</si>
  <si>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</si>
  <si>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</si>
  <si>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</si>
  <si>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</si>
  <si>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</si>
  <si>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</si>
  <si>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</si>
  <si>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</si>
  <si>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</si>
  <si>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</si>
  <si>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</si>
  <si>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</si>
  <si>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</si>
  <si>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</si>
  <si>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</si>
  <si>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</si>
  <si>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</si>
  <si>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</si>
  <si>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</si>
  <si>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</si>
  <si>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</si>
  <si>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</si>
  <si>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</si>
  <si>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</si>
  <si>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</si>
  <si>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</si>
  <si>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</si>
  <si>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</si>
  <si>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</si>
  <si>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</si>
  <si>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</si>
  <si>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</si>
  <si>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</si>
  <si>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</si>
  <si>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</si>
  <si>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</si>
  <si>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</si>
  <si>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</si>
  <si>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</si>
  <si>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</si>
  <si>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</si>
  <si>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</si>
  <si>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</si>
  <si>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</si>
  <si>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</si>
  <si>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</si>
  <si>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</si>
  <si>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</si>
  <si>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</si>
  <si>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</si>
  <si>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</si>
  <si>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</si>
  <si>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</si>
  <si>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</si>
  <si>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</si>
  <si>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</si>
  <si>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</si>
  <si>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</si>
  <si>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</si>
  <si>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</si>
  <si>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</si>
  <si>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</si>
  <si>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</si>
  <si>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</si>
  <si>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</si>
  <si>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</si>
  <si>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</si>
  <si>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</si>
  <si>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</si>
  <si>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</si>
  <si>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</si>
  <si>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</si>
  <si>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</si>
  <si>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</si>
  <si>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</si>
  <si>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</si>
  <si>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</si>
  <si>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</si>
  <si>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</si>
  <si>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</si>
  <si>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</si>
  <si>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</si>
  <si>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</si>
  <si>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</si>
  <si>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</si>
  <si>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</si>
  <si>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</si>
  <si>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</si>
  <si>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</si>
  <si>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</si>
  <si>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</si>
  <si>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</si>
  <si>
    <t>国信</t>
    <phoneticPr fontId="1" type="noConversion"/>
  </si>
  <si>
    <t>数据港</t>
    <phoneticPr fontId="1" type="noConversion"/>
  </si>
  <si>
    <t>卖了，腾仓位买数据港，但貌似又卖飞了</t>
    <phoneticPr fontId="1" type="noConversion"/>
  </si>
  <si>
    <t>数据中心长期逻辑，似乎又买高了，看来不适合上午买票。如果非要上午买票，可以分批次买，先轻仓介入，后续看情况再买。</t>
    <phoneticPr fontId="1" type="noConversion"/>
  </si>
  <si>
    <t>跌破位了，不指望回本了，为自己的冲动买单。下次不能再这么冲动了。赶着给人家送钱，真想给自己两拳，但还是要稳住心态，心态不能炸，炸了操作就会变形，稳住心态。头脑一热，很容易追涨杀跌。</t>
    <phoneticPr fontId="1" type="noConversion"/>
  </si>
  <si>
    <t>单笔风险1R(元）(按当前账户本金亏损的4%来算)</t>
    <phoneticPr fontId="1" type="noConversion"/>
  </si>
  <si>
    <t>国信</t>
    <phoneticPr fontId="1" type="noConversion"/>
  </si>
  <si>
    <t>美利云</t>
    <phoneticPr fontId="1" type="noConversion"/>
  </si>
  <si>
    <t>中长线</t>
    <phoneticPr fontId="1" type="noConversion"/>
  </si>
  <si>
    <t>大师兄买入的</t>
    <phoneticPr fontId="1" type="noConversion"/>
  </si>
  <si>
    <t>被大师兄割肉跑了，买了美利云。我觉得割早了，我本想的是长期持有到18元，目前来看算电协同应该是退朝了。</t>
    <phoneticPr fontId="1" type="noConversion"/>
  </si>
  <si>
    <t>国信</t>
    <phoneticPr fontId="1" type="noConversion"/>
  </si>
  <si>
    <t>远东股份</t>
    <phoneticPr fontId="1" type="noConversion"/>
  </si>
  <si>
    <t>短线</t>
    <phoneticPr fontId="1" type="noConversion"/>
  </si>
  <si>
    <t>多头趋势向上，站稳了5日线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</si>
</sst>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"/>
  <sheetViews>
    <sheetView tabSelected="1" topLeftCell="G1" workbookViewId="0">
      <selection activeCell="S8" sqref="S8"/>
    </sheetView>
  </sheetViews>
  <sheetFormatPr defaultRowHeight="14.25" x14ac:dyDescent="0.2"/>
  <cols>
    <col min="1" max="1" width="14.25" style="2" customWidth="1"/>
    <col min="2" max="2" width="16.125" style="2" customWidth="1"/>
    <col min="3" max="3" width="15.75" style="2" customWidth="1"/>
    <col min="4" max="4" width="17" style="2" customWidth="1"/>
    <col min="5" max="5" width="23.25" style="2" customWidth="1"/>
    <col min="6" max="6" width="18.875" style="2" customWidth="1"/>
    <col min="7" max="7" width="20.25" style="2" customWidth="1"/>
    <col min="8" max="8" width="17.625" style="2" customWidth="1"/>
    <col min="9" max="9" width="17.25" style="2" customWidth="1"/>
    <col min="10" max="10" width="11.375" style="2" customWidth="1"/>
    <col min="11" max="11" width="22.625" style="2" customWidth="1"/>
    <col min="12" max="12" width="15" style="2" customWidth="1"/>
    <col min="13" max="13" width="17.25" style="2" customWidth="1"/>
    <col min="14" max="14" width="19.875" style="2" customWidth="1"/>
    <col min="15" max="15" width="9" style="2"/>
    <col min="16" max="17" width="15.5" style="2" customWidth="1"/>
    <col min="18" max="18" width="13.625" style="2" customWidth="1"/>
    <col min="19" max="19" width="18.625" style="2" customWidth="1"/>
    <col min="20" max="20" width="16.875" style="2" customWidth="1"/>
    <col min="21" max="16384" width="9" style="2"/>
  </cols>
  <sheetData>
    <row r="1" spans="1:20" x14ac:dyDescent="0.2">
      <c r="A1" s="1" t="s">
        <v>19</v>
      </c>
      <c r="B1" s="1" t="s">
        <v>0</v>
      </c>
      <c r="C1" s="1" t="s">
        <v>1</v>
      </c>
      <c r="D1" s="1" t="s">
        <v>2</v>
      </c>
      <c r="E1" s="1" t="s">
        <v>99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10</v>
      </c>
      <c r="K1" s="1" t="s">
        <v>7</v>
      </c>
      <c r="L1" s="1" t="s">
        <v>8</v>
      </c>
      <c r="M1" s="1" t="s">
        <v>116</v>
      </c>
      <c r="N1" s="1" t="s">
        <v>9</v>
      </c>
      <c r="O1" s="1" t="s">
        <v>11</v>
      </c>
      <c r="P1" s="1" t="s">
        <v>12</v>
      </c>
      <c r="Q1" s="1" t="s">
        <v>94</v>
      </c>
      <c r="R1" s="1" t="s">
        <v>13</v>
      </c>
      <c r="S1" s="1" t="s">
        <v>14</v>
      </c>
      <c r="T1" s="1" t="s">
        <v>17</v>
      </c>
    </row>
    <row r="2" spans="1:20" ht="15" x14ac:dyDescent="0.2">
      <c r="A2" s="2" t="s">
        <v>95</v>
      </c>
      <c r="B2" s="16">
        <v>46100</v>
      </c>
      <c r="C2" s="2">
        <v>600498</v>
      </c>
      <c r="D2" s="2" t="s">
        <v>96</v>
      </c>
      <c r="E2" s="1">
        <v>43.886000000000003</v>
      </c>
      <c r="F2" s="1">
        <v>47.75</v>
      </c>
      <c r="G2" s="1">
        <v>600</v>
      </c>
      <c r="H2" s="1">
        <f t="shared" ref="H2:H9" si="0">E2*G2</f>
        <v>26331.600000000002</v>
      </c>
      <c r="I2" s="1">
        <f t="shared" ref="I2:I9" si="1">F2*G2</f>
        <v>28650</v>
      </c>
      <c r="J2" s="1">
        <v>37.54</v>
      </c>
      <c r="K2" s="1">
        <f>IF(F2&lt;&gt;"",I2-H2-J2,"")</f>
        <v>2280.8599999999979</v>
      </c>
      <c r="L2" s="11">
        <f>IF(F2&lt;&gt;"",K2/H2*100,"")</f>
        <v>8.6620638320496965</v>
      </c>
      <c r="M2" s="1">
        <v>1500</v>
      </c>
      <c r="N2" s="1">
        <f>IF(F2&lt;&gt;"",K2/M2,"")</f>
        <v>1.520573333333332</v>
      </c>
      <c r="O2" s="1" t="str">
        <f>IF(F2&lt;&gt;"",IF(K2&gt;0,"盈","亏"),"")</f>
        <v>盈</v>
      </c>
      <c r="P2" s="1">
        <f>IF(F2&lt;&gt;"",IF(K2&gt;0,ABS(K2)/M2,ABS(K2)/M2),"")</f>
        <v>1.520573333333332</v>
      </c>
      <c r="Q2" s="1">
        <f>IF(E2&lt;&gt;"",(H2-J2-M2)/G2,"")</f>
        <v>41.323433333333334</v>
      </c>
      <c r="R2" s="1" t="s">
        <v>97</v>
      </c>
      <c r="S2" s="1" t="s">
        <v>98</v>
      </c>
      <c r="T2" s="1" t="s">
        <v>103</v>
      </c>
    </row>
    <row r="3" spans="1:20" ht="15" x14ac:dyDescent="0.2">
      <c r="A3" s="1" t="s">
        <v>20</v>
      </c>
      <c r="B3" s="14">
        <v>46107</v>
      </c>
      <c r="C3" s="1">
        <v>690</v>
      </c>
      <c r="D3" s="1" t="s">
        <v>15</v>
      </c>
      <c r="E3" s="1">
        <v>5.8019999999999996</v>
      </c>
      <c r="F3" s="1">
        <v>5.13</v>
      </c>
      <c r="G3" s="1">
        <v>4100</v>
      </c>
      <c r="H3" s="1">
        <f t="shared" si="0"/>
        <v>23788.199999999997</v>
      </c>
      <c r="I3" s="1">
        <f t="shared" si="1"/>
        <v>21033</v>
      </c>
      <c r="J3" s="1">
        <v>7.47</v>
      </c>
      <c r="K3" s="1">
        <f t="shared" ref="K3:K9" si="2">IF(F3&lt;&gt;"",I3-H3-J3,"")</f>
        <v>-2762.6699999999969</v>
      </c>
      <c r="L3" s="11">
        <f t="shared" ref="L3:L9" si="3">IF(F3&lt;&gt;"",K3/H3*100,"")</f>
        <v>-11.61361515373167</v>
      </c>
      <c r="M3" s="1">
        <v>1500</v>
      </c>
      <c r="N3" s="1">
        <f>IF(F3&lt;&gt;"",K3/M3,"")</f>
        <v>-1.841779999999998</v>
      </c>
      <c r="O3" s="1" t="str">
        <f>IF(F3&lt;&gt;"",IF(K3&gt;0,"盈","亏"),"")</f>
        <v>亏</v>
      </c>
      <c r="P3" s="1">
        <f>IF(F3&lt;&gt;"",IF(K3&gt;0,ABS(K3)/M3,ABS(K3)/M3),"")</f>
        <v>1.841779999999998</v>
      </c>
      <c r="Q3" s="1">
        <f>IF(E3&lt;&gt;"",(H3-J3-M3)/G3,"")</f>
        <v>5.4343243902439013</v>
      </c>
      <c r="R3" s="1" t="s">
        <v>16</v>
      </c>
      <c r="S3" s="1" t="s">
        <v>18</v>
      </c>
      <c r="T3" s="1" t="s">
        <v>104</v>
      </c>
    </row>
    <row r="4" spans="1:20" ht="15" x14ac:dyDescent="0.2">
      <c r="A4" s="2" t="s">
        <v>100</v>
      </c>
      <c r="B4" s="16">
        <v>46108</v>
      </c>
      <c r="C4" s="2">
        <v>1896</v>
      </c>
      <c r="D4" s="2" t="s">
        <v>101</v>
      </c>
      <c r="E4" s="2">
        <v>15.624000000000001</v>
      </c>
      <c r="F4" s="2">
        <v>12.54</v>
      </c>
      <c r="G4" s="2">
        <v>4300</v>
      </c>
      <c r="H4" s="1">
        <f t="shared" si="0"/>
        <v>67183.199999999997</v>
      </c>
      <c r="I4" s="1">
        <f t="shared" si="1"/>
        <v>53921.999999999993</v>
      </c>
      <c r="J4" s="2">
        <v>16.79</v>
      </c>
      <c r="K4" s="1">
        <f t="shared" si="2"/>
        <v>-13277.990000000005</v>
      </c>
      <c r="L4" s="11">
        <f t="shared" si="3"/>
        <v>-19.763854654139735</v>
      </c>
      <c r="M4" s="2">
        <v>2800</v>
      </c>
      <c r="N4" s="1">
        <f t="shared" ref="N4:N9" si="4">IF(F4&lt;&gt;"",K4/M4,"")</f>
        <v>-4.7421392857142877</v>
      </c>
      <c r="O4" s="1" t="str">
        <f t="shared" ref="O4:O9" si="5">IF(F4&lt;&gt;"",IF(K4&gt;0,"盈","亏"),"")</f>
        <v>亏</v>
      </c>
      <c r="P4" s="1">
        <f t="shared" ref="P4:P9" si="6">IF(F4&lt;&gt;"",IF(K4&gt;0,ABS(K4)/M4,ABS(K4)/M4),"")</f>
        <v>4.7421392857142877</v>
      </c>
      <c r="Q4" s="1">
        <f>IF(E4&lt;&gt;"",(H4-J4-M4)/G4,"")</f>
        <v>14.968932558139535</v>
      </c>
      <c r="R4" s="2" t="s">
        <v>97</v>
      </c>
      <c r="S4" s="2" t="s">
        <v>102</v>
      </c>
      <c r="T4" s="2" t="s">
        <v>121</v>
      </c>
    </row>
    <row r="5" spans="1:20" ht="15" x14ac:dyDescent="0.2">
      <c r="A5" s="2" t="s">
        <v>105</v>
      </c>
      <c r="B5" s="16">
        <v>46112</v>
      </c>
      <c r="C5" s="2">
        <v>2675</v>
      </c>
      <c r="D5" s="2" t="s">
        <v>106</v>
      </c>
      <c r="E5" s="2">
        <v>14.978</v>
      </c>
      <c r="F5" s="2">
        <v>14.18</v>
      </c>
      <c r="G5" s="2">
        <v>700</v>
      </c>
      <c r="H5" s="1">
        <f t="shared" si="0"/>
        <v>10484.6</v>
      </c>
      <c r="I5" s="1">
        <f t="shared" si="1"/>
        <v>9926</v>
      </c>
      <c r="J5" s="2">
        <v>5.0999999999999996</v>
      </c>
      <c r="K5" s="1">
        <f t="shared" si="2"/>
        <v>-563.70000000000039</v>
      </c>
      <c r="L5" s="11">
        <f>IF(F5&lt;&gt;"",K5/H5*100,"")</f>
        <v>-5.3764568986895096</v>
      </c>
      <c r="M5" s="2">
        <v>1500</v>
      </c>
      <c r="N5" s="1">
        <f t="shared" si="4"/>
        <v>-0.37580000000000024</v>
      </c>
      <c r="O5" s="1" t="str">
        <f t="shared" si="5"/>
        <v>亏</v>
      </c>
      <c r="P5" s="1">
        <f t="shared" si="6"/>
        <v>0.37580000000000024</v>
      </c>
      <c r="Q5" s="1">
        <f t="shared" ref="Q5:Q9" si="7">IF(E5&lt;&gt;"",(H5-J5-M5)/G5,"")</f>
        <v>12.827857142857143</v>
      </c>
      <c r="R5" s="2" t="s">
        <v>107</v>
      </c>
      <c r="S5" s="2" t="s">
        <v>108</v>
      </c>
      <c r="T5" s="2" t="s">
        <v>113</v>
      </c>
    </row>
    <row r="6" spans="1:20" ht="15" x14ac:dyDescent="0.2">
      <c r="A6" s="2" t="s">
        <v>105</v>
      </c>
      <c r="B6" s="16">
        <v>46112</v>
      </c>
      <c r="C6" s="2">
        <v>2202</v>
      </c>
      <c r="D6" s="2" t="s">
        <v>109</v>
      </c>
      <c r="E6" s="2">
        <v>27.939</v>
      </c>
      <c r="F6" s="2">
        <v>25.35</v>
      </c>
      <c r="G6" s="2">
        <v>1400</v>
      </c>
      <c r="H6" s="2">
        <f t="shared" si="0"/>
        <v>39114.6</v>
      </c>
      <c r="I6" s="2">
        <f t="shared" si="1"/>
        <v>35490</v>
      </c>
      <c r="J6" s="2">
        <v>12.3</v>
      </c>
      <c r="K6" s="1">
        <f t="shared" si="2"/>
        <v>-3636.8999999999987</v>
      </c>
      <c r="L6" s="11">
        <f t="shared" si="3"/>
        <v>-9.2980626160052751</v>
      </c>
      <c r="M6" s="2">
        <v>1500</v>
      </c>
      <c r="N6" s="1">
        <f t="shared" si="4"/>
        <v>-2.424599999999999</v>
      </c>
      <c r="O6" s="1" t="str">
        <f t="shared" si="5"/>
        <v>亏</v>
      </c>
      <c r="P6" s="1">
        <f t="shared" si="6"/>
        <v>2.424599999999999</v>
      </c>
      <c r="Q6" s="1">
        <f t="shared" si="7"/>
        <v>26.858785714285712</v>
      </c>
      <c r="R6" s="2" t="s">
        <v>107</v>
      </c>
      <c r="S6" s="2" t="s">
        <v>110</v>
      </c>
      <c r="T6" s="2" t="s">
        <v>115</v>
      </c>
    </row>
    <row r="7" spans="1:20" ht="15" x14ac:dyDescent="0.2">
      <c r="A7" s="2" t="s">
        <v>111</v>
      </c>
      <c r="B7" s="16">
        <v>46113</v>
      </c>
      <c r="C7" s="2">
        <v>603881</v>
      </c>
      <c r="D7" s="2" t="s">
        <v>112</v>
      </c>
      <c r="E7" s="2">
        <v>37.996000000000002</v>
      </c>
      <c r="F7" s="2">
        <v>39.409999999999997</v>
      </c>
      <c r="G7" s="2">
        <v>1100</v>
      </c>
      <c r="H7" s="2">
        <f t="shared" si="0"/>
        <v>41795.600000000006</v>
      </c>
      <c r="I7" s="2">
        <f t="shared" si="1"/>
        <v>43350.999999999993</v>
      </c>
      <c r="J7" s="2">
        <v>55.43</v>
      </c>
      <c r="K7" s="2">
        <f t="shared" si="2"/>
        <v>1499.9699999999868</v>
      </c>
      <c r="L7" s="11">
        <f t="shared" si="3"/>
        <v>3.5888227468919855</v>
      </c>
      <c r="M7" s="2">
        <v>2000</v>
      </c>
      <c r="N7" s="1">
        <f t="shared" si="4"/>
        <v>0.74998499999999346</v>
      </c>
      <c r="O7" s="2" t="str">
        <f t="shared" si="5"/>
        <v>盈</v>
      </c>
      <c r="P7" s="2">
        <f t="shared" si="6"/>
        <v>0.74998499999999346</v>
      </c>
      <c r="Q7" s="2">
        <f t="shared" si="7"/>
        <v>36.127427272727274</v>
      </c>
      <c r="R7" s="2" t="s">
        <v>97</v>
      </c>
      <c r="S7" s="2" t="s">
        <v>114</v>
      </c>
    </row>
    <row r="8" spans="1:20" x14ac:dyDescent="0.2">
      <c r="A8" s="2" t="s">
        <v>117</v>
      </c>
      <c r="B8" s="16">
        <v>46115</v>
      </c>
      <c r="C8" s="2">
        <v>815</v>
      </c>
      <c r="D8" s="2" t="s">
        <v>118</v>
      </c>
      <c r="E8" s="2">
        <v>19.638999999999999</v>
      </c>
      <c r="G8" s="2">
        <v>2700</v>
      </c>
      <c r="H8" s="2">
        <f t="shared" si="0"/>
        <v>53025.299999999996</v>
      </c>
      <c r="I8" s="2">
        <f t="shared" si="1"/>
        <v>0</v>
      </c>
      <c r="K8" s="2" t="str">
        <f t="shared" si="2"/>
        <v/>
      </c>
      <c r="L8" s="2" t="str">
        <f t="shared" si="3"/>
        <v/>
      </c>
      <c r="M8" s="2">
        <v>2000</v>
      </c>
      <c r="N8" s="2" t="str">
        <f t="shared" si="4"/>
        <v/>
      </c>
      <c r="O8" s="2" t="str">
        <f t="shared" si="5"/>
        <v/>
      </c>
      <c r="P8" s="2" t="str">
        <f t="shared" si="6"/>
        <v/>
      </c>
      <c r="Q8" s="2">
        <f t="shared" si="7"/>
        <v>18.898259259259259</v>
      </c>
      <c r="R8" s="2" t="s">
        <v>119</v>
      </c>
      <c r="S8" s="2" t="s">
        <v>120</v>
      </c>
    </row>
    <row r="9" spans="1:20" x14ac:dyDescent="0.2">
      <c r="A9" s="2" t="s">
        <v>122</v>
      </c>
      <c r="B9" s="16">
        <v>46122</v>
      </c>
      <c r="C9" s="2">
        <v>600869</v>
      </c>
      <c r="D9" s="2" t="s">
        <v>123</v>
      </c>
      <c r="E9" s="2">
        <v>15.871</v>
      </c>
      <c r="G9" s="2">
        <v>2900</v>
      </c>
      <c r="H9" s="2">
        <f t="shared" si="0"/>
        <v>46025.9</v>
      </c>
      <c r="I9" s="2">
        <f t="shared" si="1"/>
        <v>0</v>
      </c>
      <c r="K9" s="2" t="str">
        <f t="shared" si="2"/>
        <v/>
      </c>
      <c r="L9" s="2" t="str">
        <f t="shared" si="3"/>
        <v/>
      </c>
      <c r="M9" s="2">
        <v>2000</v>
      </c>
      <c r="N9" s="2" t="str">
        <f t="shared" si="4"/>
        <v/>
      </c>
      <c r="O9" s="2" t="str">
        <f t="shared" si="5"/>
        <v/>
      </c>
      <c r="P9" s="2" t="str">
        <f t="shared" si="6"/>
        <v/>
      </c>
      <c r="Q9" s="2">
        <f t="shared" si="7"/>
        <v>15.181344827586207</v>
      </c>
      <c r="R9" s="2" t="s">
        <v>124</v>
      </c>
      <c r="S9" s="2" t="s">
        <v>125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3" sqref="A13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21</v>
      </c>
      <c r="C1" s="3" t="s">
        <v>39</v>
      </c>
    </row>
    <row r="2" spans="1:3" ht="15" x14ac:dyDescent="0.2">
      <c r="A2" s="3">
        <f>COUNTIF(交易记录!O:O,"盈")+COUNTIF(交易记录!O:O,"亏")</f>
        <v>6</v>
      </c>
      <c r="B2" s="3" t="s">
        <v>22</v>
      </c>
      <c r="C2" s="3" t="s">
        <v>40</v>
      </c>
    </row>
    <row r="3" spans="1:3" ht="15.75" thickBot="1" x14ac:dyDescent="0.25">
      <c r="A3" s="3">
        <f>COUNTIF(交易记录!O:O,"盈")</f>
        <v>2</v>
      </c>
      <c r="B3" s="3" t="s">
        <v>23</v>
      </c>
      <c r="C3" s="3" t="s">
        <v>41</v>
      </c>
    </row>
    <row r="4" spans="1:3" ht="15.75" thickBot="1" x14ac:dyDescent="0.25">
      <c r="A4" s="6">
        <f>COUNTIF(交易记录!O:O,"亏")</f>
        <v>4</v>
      </c>
      <c r="B4" s="3" t="s">
        <v>24</v>
      </c>
      <c r="C4" s="3" t="s">
        <v>42</v>
      </c>
    </row>
    <row r="5" spans="1:3" ht="15.75" thickBot="1" x14ac:dyDescent="0.25">
      <c r="A5" s="5">
        <f>IF(A2&gt;0,A3/A2*100,"0")</f>
        <v>33.333333333333329</v>
      </c>
      <c r="B5" s="3" t="s">
        <v>25</v>
      </c>
      <c r="C5" s="3" t="s">
        <v>43</v>
      </c>
    </row>
    <row r="6" spans="1:3" ht="15.75" thickBot="1" x14ac:dyDescent="0.25">
      <c r="A6" s="6">
        <f>SUM(交易记录!K:K)</f>
        <v>-16460.430000000018</v>
      </c>
      <c r="B6" s="3" t="s">
        <v>26</v>
      </c>
      <c r="C6" s="3" t="s">
        <v>44</v>
      </c>
    </row>
    <row r="7" spans="1:3" ht="15" x14ac:dyDescent="0.2">
      <c r="A7" s="3">
        <f>IF(A2&gt;0,A6/A2,"0")</f>
        <v>-2743.4050000000029</v>
      </c>
      <c r="B7" s="3" t="s">
        <v>27</v>
      </c>
      <c r="C7" s="4" t="s">
        <v>45</v>
      </c>
    </row>
    <row r="8" spans="1:3" ht="15.75" thickBot="1" x14ac:dyDescent="0.25">
      <c r="A8" s="3">
        <f>IF(A3&gt;0,AVERAGEIF(交易记录!N:N,"&gt;0",交易记录!N:N),"0")</f>
        <v>1.1352791666666628</v>
      </c>
      <c r="B8" s="3" t="s">
        <v>28</v>
      </c>
      <c r="C8" s="3" t="s">
        <v>46</v>
      </c>
    </row>
    <row r="9" spans="1:3" ht="15.75" thickBot="1" x14ac:dyDescent="0.25">
      <c r="A9" s="3">
        <f>IF(A4&gt;0,ABS(AVERAGEIF(交易记录!N:N,"&lt;0",交易记录!N:N)),"0")</f>
        <v>2.346079821428571</v>
      </c>
      <c r="B9" s="4" t="s">
        <v>29</v>
      </c>
      <c r="C9" s="5" t="s">
        <v>47</v>
      </c>
    </row>
    <row r="10" spans="1:3" ht="16.5" thickBot="1" x14ac:dyDescent="0.3">
      <c r="A10" s="3">
        <f>IF(A9&gt;0,A8/A9,"0")</f>
        <v>0.4839047488057634</v>
      </c>
      <c r="B10" s="4" t="s">
        <v>30</v>
      </c>
      <c r="C10" s="4" t="s">
        <v>48</v>
      </c>
    </row>
    <row r="11" spans="1:3" ht="15.75" thickBot="1" x14ac:dyDescent="0.25">
      <c r="A11" s="2">
        <f>IF(A2&gt;0,(A5/100)*A8 - (1-A5/100)*A9,"0")</f>
        <v>-1.1856268253968267</v>
      </c>
      <c r="B11" s="5" t="s">
        <v>31</v>
      </c>
      <c r="C11" s="3" t="s">
        <v>49</v>
      </c>
    </row>
    <row r="12" spans="1:3" ht="15" x14ac:dyDescent="0.2">
      <c r="A12" s="3">
        <f>IF(A2&gt;0,A11*AVERAGEIF(交易记录!M:M,"&gt;0",交易记录!M:M),"0")</f>
        <v>-2193.4096269841293</v>
      </c>
      <c r="B12" s="3" t="s">
        <v>32</v>
      </c>
      <c r="C12" s="3" t="s">
        <v>50</v>
      </c>
    </row>
    <row r="13" spans="1:3" ht="15" x14ac:dyDescent="0.2">
      <c r="A13" s="3">
        <f>SUM(交易记录!N:N)</f>
        <v>-7.1137609523809591</v>
      </c>
      <c r="B13" s="3" t="s">
        <v>33</v>
      </c>
      <c r="C13" s="3" t="s">
        <v>51</v>
      </c>
    </row>
    <row r="14" spans="1:3" ht="15" x14ac:dyDescent="0.2">
      <c r="A14" s="3">
        <f t="array" ref="A14">MAX(FREQUENCY(IF(交易记录!O:O="盈",ROW(交易记录!O:O)),IF(交易记录!O:O&lt;&gt;"盈",ROW(交易记录!O:O))))</f>
        <v>1</v>
      </c>
      <c r="B14" s="3" t="s">
        <v>34</v>
      </c>
      <c r="C14" s="3" t="s">
        <v>52</v>
      </c>
    </row>
    <row r="15" spans="1:3" ht="15" x14ac:dyDescent="0.2">
      <c r="A15" s="3">
        <f t="array" ref="A15">MAX(FREQUENCY(IF(交易记录!O:O="亏",ROW(交易记录!O:O)),IF(交易记录!O:O&lt;&gt;"亏",ROW(交易记录!O:O))))</f>
        <v>4</v>
      </c>
      <c r="B15" s="3" t="s">
        <v>35</v>
      </c>
      <c r="C15" s="3" t="s">
        <v>53</v>
      </c>
    </row>
    <row r="16" spans="1:3" ht="15.75" thickBot="1" x14ac:dyDescent="0.25">
      <c r="B16" s="3" t="s">
        <v>36</v>
      </c>
      <c r="C16" s="3" t="s">
        <v>54</v>
      </c>
    </row>
    <row r="17" spans="1:3" ht="15.75" thickBot="1" x14ac:dyDescent="0.25">
      <c r="A17" s="5">
        <f>COUNTA(交易记录!A:A)-1-A2</f>
        <v>2</v>
      </c>
      <c r="B17" s="5" t="s">
        <v>37</v>
      </c>
      <c r="C17" s="4" t="s">
        <v>55</v>
      </c>
    </row>
    <row r="18" spans="1:3" ht="15" x14ac:dyDescent="0.2">
      <c r="A18" s="3">
        <f>SUMIF(交易记录!F:F,"",交易记录!H:H)</f>
        <v>99051.199999999997</v>
      </c>
      <c r="B18" s="3" t="s">
        <v>38</v>
      </c>
      <c r="C18" s="3" t="s">
        <v>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C5" sqref="C5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66</v>
      </c>
      <c r="B1" s="11" t="s">
        <v>67</v>
      </c>
      <c r="C1" s="12" t="s">
        <v>68</v>
      </c>
      <c r="D1" s="13" t="s">
        <v>69</v>
      </c>
      <c r="E1" s="11" t="s">
        <v>70</v>
      </c>
      <c r="F1" t="s">
        <v>71</v>
      </c>
      <c r="G1" s="11" t="s">
        <v>72</v>
      </c>
      <c r="H1" s="11" t="s">
        <v>73</v>
      </c>
    </row>
    <row r="2" spans="1:8" x14ac:dyDescent="0.2">
      <c r="A2" s="9" t="s">
        <v>57</v>
      </c>
      <c r="B2" s="9" t="s">
        <v>58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  <c r="H2" s="9" t="s">
        <v>64</v>
      </c>
    </row>
    <row r="3" spans="1:8" ht="15" x14ac:dyDescent="0.2">
      <c r="A3" s="7">
        <v>1</v>
      </c>
      <c r="B3" s="11" t="e">
        <f>SUMPRODUCT((MONTH(交易记录!B:B)=A3)*(YEAR(交易记录!B:B)=$A$1)*(交易记录!O:O&lt;&gt;""))</f>
        <v>#VALUE!</v>
      </c>
      <c r="C3" s="11" t="e">
        <f t="array" ref="C3">SUMPRODUCT((MONTH(交易记录!B:B)=A3)*(YEAR(交易记录!B:B)=$A$1)*(交易记录!O:O="盈"))</f>
        <v>#VALUE!</v>
      </c>
      <c r="D3" s="11" t="e">
        <f>IF(B3&gt;0,C3/B3*100,"0")</f>
        <v>#VALUE!</v>
      </c>
      <c r="E3" s="11" t="s">
        <v>65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SUMPRODUCT((MONTH(交易记录!B:B)=A4)*(YEAR(交易记录!B:B)=$A$1)*(交易记录!O:O&lt;&gt;""))</f>
        <v>#VALUE!</v>
      </c>
      <c r="C4" s="11" t="e">
        <f t="array" ref="C4">SUMPRODUCT((MONTH(交易记录!B:B)=A4)*(YEAR(交易记录!B:B)=$A$1)*(交易记录!O:O="盈"))</f>
        <v>#VALUE!</v>
      </c>
      <c r="D4" s="11" t="e">
        <f t="shared" ref="D4:D14" si="0">IF(B4&gt;0,C4/B4*100,"0")</f>
        <v>#VALUE!</v>
      </c>
      <c r="E4" s="11" t="s">
        <v>74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SUMPRODUCT((MONTH(交易记录!B:B)=A5)*(YEAR(交易记录!B:B)=$A$1)*(交易记录!O:O&lt;&gt;""))</f>
        <v>#VALUE!</v>
      </c>
      <c r="C5" s="11" t="e">
        <f t="array" ref="C5">SUMPRODUCT((MONTH(交易记录!B:B)=A5)*(YEAR(交易记录!B:B)=$A$1)*(交易记录!O:O="盈"))</f>
        <v>#VALUE!</v>
      </c>
      <c r="D5" s="11" t="e">
        <f t="shared" si="0"/>
        <v>#VALUE!</v>
      </c>
      <c r="E5" s="11" t="s">
        <v>75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SUMPRODUCT((MONTH(交易记录!B:B)=A6)*(YEAR(交易记录!B:B)=$A$1)*(交易记录!O:O&lt;&gt;""))</f>
        <v>#VALUE!</v>
      </c>
      <c r="C6" s="11" t="e">
        <f t="array" ref="C6">SUMPRODUCT((MONTH(交易记录!B:B)=A6)*(YEAR(交易记录!B:B)=$A$1)*(交易记录!O:O="盈"))</f>
        <v>#VALUE!</v>
      </c>
      <c r="D6" s="11" t="e">
        <f t="shared" si="0"/>
        <v>#VALUE!</v>
      </c>
      <c r="E6" s="11" t="s">
        <v>76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SUMPRODUCT((MONTH(交易记录!B:B)=A7)*(YEAR(交易记录!B:B)=$A$1)*(交易记录!O:O&lt;&gt;""))</f>
        <v>#VALUE!</v>
      </c>
      <c r="C7" s="11" t="e">
        <f t="array" ref="C7">SUMPRODUCT((MONTH(交易记录!B:B)=A7)*(YEAR(交易记录!B:B)=$A$1)*(交易记录!O:O="盈"))</f>
        <v>#VALUE!</v>
      </c>
      <c r="D7" s="11" t="e">
        <f t="shared" si="0"/>
        <v>#VALUE!</v>
      </c>
      <c r="E7" s="11" t="s">
        <v>77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SUMPRODUCT((MONTH(交易记录!B:B)=A8)*(YEAR(交易记录!B:B)=$A$1)*(交易记录!O:O&lt;&gt;""))</f>
        <v>#VALUE!</v>
      </c>
      <c r="C8" s="11" t="e">
        <f t="array" ref="C8">SUMPRODUCT((MONTH(交易记录!B:B)=A8)*(YEAR(交易记录!B:B)=$A$1)*(交易记录!O:O="盈"))</f>
        <v>#VALUE!</v>
      </c>
      <c r="D8" s="11" t="e">
        <f t="shared" si="0"/>
        <v>#VALUE!</v>
      </c>
      <c r="E8" s="11" t="s">
        <v>78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SUMPRODUCT((MONTH(交易记录!B:B)=A9)*(YEAR(交易记录!B:B)=$A$1)*(交易记录!O:O&lt;&gt;""))</f>
        <v>#VALUE!</v>
      </c>
      <c r="C9" s="11" t="e">
        <f t="array" ref="C9">SUMPRODUCT((MONTH(交易记录!B:B)=A9)*(YEAR(交易记录!B:B)=$A$1)*(交易记录!O:O="盈"))</f>
        <v>#VALUE!</v>
      </c>
      <c r="D9" s="11" t="e">
        <f t="shared" si="0"/>
        <v>#VALUE!</v>
      </c>
      <c r="E9" s="11" t="s">
        <v>79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SUMPRODUCT((MONTH(交易记录!B:B)=A10)*(YEAR(交易记录!B:B)=$A$1)*(交易记录!O:O&lt;&gt;""))</f>
        <v>#VALUE!</v>
      </c>
      <c r="C10" s="11" t="e">
        <f t="array" ref="C10">SUMPRODUCT((MONTH(交易记录!B:B)=A10)*(YEAR(交易记录!B:B)=$A$1)*(交易记录!O:O="盈"))</f>
        <v>#VALUE!</v>
      </c>
      <c r="D10" s="11" t="e">
        <f t="shared" si="0"/>
        <v>#VALUE!</v>
      </c>
      <c r="E10" s="11" t="s">
        <v>80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SUMPRODUCT((MONTH(交易记录!B:B)=A11)*(YEAR(交易记录!B:B)=$A$1)*(交易记录!O:O&lt;&gt;""))</f>
        <v>#VALUE!</v>
      </c>
      <c r="C11" s="11" t="e">
        <f t="array" ref="C11">SUMPRODUCT((MONTH(交易记录!B:B)=A11)*(YEAR(交易记录!B:B)=$A$1)*(交易记录!O:O="盈"))</f>
        <v>#VALUE!</v>
      </c>
      <c r="D11" s="11" t="e">
        <f t="shared" si="0"/>
        <v>#VALUE!</v>
      </c>
      <c r="E11" s="11" t="s">
        <v>81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SUMPRODUCT((MONTH(交易记录!B:B)=A12)*(YEAR(交易记录!B:B)=$A$1)*(交易记录!O:O&lt;&gt;""))</f>
        <v>#VALUE!</v>
      </c>
      <c r="C12" s="11" t="e">
        <f t="array" ref="C12">SUMPRODUCT((MONTH(交易记录!B:B)=A12)*(YEAR(交易记录!B:B)=$A$1)*(交易记录!O:O="盈"))</f>
        <v>#VALUE!</v>
      </c>
      <c r="D12" s="11" t="e">
        <f t="shared" si="0"/>
        <v>#VALUE!</v>
      </c>
      <c r="E12" s="11" t="s">
        <v>82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SUMPRODUCT((MONTH(交易记录!B:B)=A13)*(YEAR(交易记录!B:B)=$A$1)*(交易记录!O:O&lt;&gt;""))</f>
        <v>#VALUE!</v>
      </c>
      <c r="C13" s="11" t="e">
        <f t="array" ref="C13">SUMPRODUCT((MONTH(交易记录!B:B)=A13)*(YEAR(交易记录!B:B)=$A$1)*(交易记录!O:O="盈"))</f>
        <v>#VALUE!</v>
      </c>
      <c r="D13" s="11" t="e">
        <f t="shared" si="0"/>
        <v>#VALUE!</v>
      </c>
      <c r="E13" s="11" t="s">
        <v>83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SUMPRODUCT((MONTH(交易记录!B:B)=A14)*(YEAR(交易记录!B:B)=$A$1)*(交易记录!O:O&lt;&gt;""))</f>
        <v>#VALUE!</v>
      </c>
      <c r="C14" s="11" t="e">
        <f t="array" ref="C14">SUMPRODUCT((MONTH(交易记录!B:B)=A14)*(YEAR(交易记录!B:B)=$A$1)*(交易记录!O:O="盈"))</f>
        <v>#VALUE!</v>
      </c>
      <c r="D14" s="11" t="e">
        <f t="shared" si="0"/>
        <v>#VALUE!</v>
      </c>
      <c r="E14" s="11" t="s">
        <v>84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9" sqref="C9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85</v>
      </c>
    </row>
    <row r="2" spans="1:5" ht="15" thickBot="1" x14ac:dyDescent="0.25">
      <c r="A2" s="15" t="s">
        <v>93</v>
      </c>
      <c r="B2">
        <v>70000</v>
      </c>
    </row>
    <row r="3" spans="1:5" ht="21" customHeight="1" thickBot="1" x14ac:dyDescent="0.25">
      <c r="A3" s="13" t="s">
        <v>86</v>
      </c>
      <c r="B3">
        <v>2100</v>
      </c>
    </row>
    <row r="5" spans="1:5" x14ac:dyDescent="0.2">
      <c r="A5" s="8" t="s">
        <v>87</v>
      </c>
    </row>
    <row r="6" spans="1:5" x14ac:dyDescent="0.2">
      <c r="A6" s="9" t="s">
        <v>88</v>
      </c>
      <c r="B6" s="9" t="s">
        <v>89</v>
      </c>
      <c r="C6" s="9" t="s">
        <v>90</v>
      </c>
      <c r="D6" s="9" t="s">
        <v>91</v>
      </c>
      <c r="E6" s="9" t="s">
        <v>92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2026-04-13T08:14:54Z</dcterms:modified>
</cp:coreProperties>
</file>