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hub\MyKnowledgeRepository\LearningNote\"/>
    </mc:Choice>
  </mc:AlternateContent>
  <xr:revisionPtr revIDLastSave="0" documentId="13_ncr:1_{0666F93D-0F4F-4047-AF7D-E8144C800A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交易记录" sheetId="1" r:id="rId1"/>
    <sheet name="交易统计" sheetId="2" r:id="rId2"/>
    <sheet name="2026年月度收益" sheetId="3" r:id="rId3"/>
    <sheet name="压力测试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K4" i="1" s="1"/>
  <c r="Q4" i="1"/>
  <c r="H4" i="1"/>
  <c r="Q2" i="1"/>
  <c r="P2" i="1"/>
  <c r="O2" i="1"/>
  <c r="N2" i="1"/>
  <c r="I2" i="1"/>
  <c r="H2" i="1"/>
  <c r="B5" i="3"/>
  <c r="D5" i="3" s="1"/>
  <c r="B4" i="3"/>
  <c r="D4" i="3" s="1"/>
  <c r="B6" i="3"/>
  <c r="D6" i="3" s="1"/>
  <c r="B7" i="3"/>
  <c r="D7" i="3" s="1"/>
  <c r="B8" i="3"/>
  <c r="D8" i="3" s="1"/>
  <c r="B9" i="3"/>
  <c r="D9" i="3" s="1"/>
  <c r="B10" i="3"/>
  <c r="D10" i="3" s="1"/>
  <c r="B11" i="3"/>
  <c r="D11" i="3" s="1"/>
  <c r="B12" i="3"/>
  <c r="D12" i="3" s="1"/>
  <c r="B13" i="3"/>
  <c r="D13" i="3" s="1"/>
  <c r="B14" i="3"/>
  <c r="D14" i="3" s="1"/>
  <c r="B3" i="3"/>
  <c r="D3" i="3" s="1"/>
  <c r="B3" i="4"/>
  <c r="B12" i="4" s="1"/>
  <c r="C12" i="4" s="1"/>
  <c r="D12" i="4" s="1"/>
  <c r="H4" i="3"/>
  <c r="H5" i="3"/>
  <c r="H6" i="3"/>
  <c r="H7" i="3"/>
  <c r="H8" i="3"/>
  <c r="H9" i="3"/>
  <c r="H10" i="3"/>
  <c r="H11" i="3"/>
  <c r="H12" i="3"/>
  <c r="H13" i="3"/>
  <c r="H14" i="3"/>
  <c r="G4" i="3"/>
  <c r="G5" i="3"/>
  <c r="G6" i="3"/>
  <c r="G7" i="3"/>
  <c r="G8" i="3"/>
  <c r="G9" i="3"/>
  <c r="G10" i="3"/>
  <c r="G11" i="3"/>
  <c r="G12" i="3"/>
  <c r="G13" i="3"/>
  <c r="G14" i="3"/>
  <c r="F4" i="3"/>
  <c r="F5" i="3"/>
  <c r="F6" i="3"/>
  <c r="F7" i="3"/>
  <c r="F8" i="3"/>
  <c r="F9" i="3"/>
  <c r="F10" i="3"/>
  <c r="F11" i="3"/>
  <c r="F12" i="3"/>
  <c r="F13" i="3"/>
  <c r="F14" i="3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H3" i="3"/>
  <c r="G3" i="3"/>
  <c r="F3" i="3"/>
  <c r="C3" i="3" a="1"/>
  <c r="C3" i="3" s="1"/>
  <c r="I3" i="1"/>
  <c r="H3" i="1"/>
  <c r="Q3" i="1" s="1"/>
  <c r="B16" i="4" l="1"/>
  <c r="C16" i="4" s="1"/>
  <c r="D16" i="4" s="1"/>
  <c r="B15" i="4"/>
  <c r="C15" i="4" s="1"/>
  <c r="D15" i="4" s="1"/>
  <c r="E15" i="4" s="1"/>
  <c r="B14" i="4"/>
  <c r="C14" i="4" s="1"/>
  <c r="D14" i="4" s="1"/>
  <c r="E14" i="4" s="1"/>
  <c r="B10" i="4"/>
  <c r="C10" i="4" s="1"/>
  <c r="D10" i="4" s="1"/>
  <c r="E10" i="4" s="1"/>
  <c r="A18" i="2"/>
  <c r="B11" i="4"/>
  <c r="C11" i="4" s="1"/>
  <c r="D11" i="4" s="1"/>
  <c r="E11" i="4" s="1"/>
  <c r="B9" i="4"/>
  <c r="C9" i="4" s="1"/>
  <c r="D9" i="4" s="1"/>
  <c r="E9" i="4" s="1"/>
  <c r="B8" i="4"/>
  <c r="C8" i="4" s="1"/>
  <c r="D8" i="4" s="1"/>
  <c r="E8" i="4" s="1"/>
  <c r="K3" i="1"/>
  <c r="N3" i="1" s="1"/>
  <c r="A13" i="2" s="1"/>
  <c r="B7" i="4"/>
  <c r="C7" i="4" s="1"/>
  <c r="D7" i="4" s="1"/>
  <c r="E7" i="4" s="1"/>
  <c r="B13" i="4"/>
  <c r="C13" i="4" s="1"/>
  <c r="D13" i="4" s="1"/>
  <c r="E13" i="4" s="1"/>
  <c r="O3" i="1"/>
  <c r="A14" i="2" s="1" a="1"/>
  <c r="A14" i="2" s="1"/>
  <c r="P3" i="1"/>
  <c r="A4" i="2"/>
  <c r="A9" i="2" s="1"/>
  <c r="A3" i="2"/>
  <c r="A2" i="2"/>
  <c r="E16" i="4"/>
  <c r="E12" i="4"/>
  <c r="A6" i="2" l="1"/>
  <c r="L3" i="1"/>
  <c r="A15" i="2" a="1"/>
  <c r="A15" i="2" s="1"/>
  <c r="A7" i="2"/>
  <c r="A5" i="2"/>
  <c r="A17" i="2"/>
  <c r="A8" i="2"/>
  <c r="A10" i="2" s="1"/>
  <c r="A11" i="2" l="1"/>
  <c r="A12" i="2" s="1"/>
</calcChain>
</file>

<file path=xl/sharedStrings.xml><?xml version="1.0" encoding="utf-8"?>
<sst xmlns="http://schemas.openxmlformats.org/spreadsheetml/2006/main" count="105" uniqueCount="105">
  <si>
    <t>交易日期</t>
    <phoneticPr fontId="1" type="noConversion"/>
  </si>
  <si>
    <t>股票代码</t>
    <phoneticPr fontId="1" type="noConversion"/>
  </si>
  <si>
    <t>股票名称</t>
  </si>
  <si>
    <t>卖出价(元)</t>
    <phoneticPr fontId="1" type="noConversion"/>
  </si>
  <si>
    <t>数量(股)</t>
    <phoneticPr fontId="1" type="noConversion"/>
  </si>
  <si>
    <t>买入金额(元）</t>
    <phoneticPr fontId="1" type="noConversion"/>
  </si>
  <si>
    <t>卖出金额（元）</t>
    <phoneticPr fontId="1" type="noConversion"/>
  </si>
  <si>
    <t>实际盈亏金额（元）</t>
    <phoneticPr fontId="1" type="noConversion"/>
  </si>
  <si>
    <t>盈亏比例（%）</t>
    <phoneticPr fontId="1" type="noConversion"/>
  </si>
  <si>
    <t>盈亏R数</t>
    <phoneticPr fontId="1" type="noConversion"/>
  </si>
  <si>
    <t>手续费</t>
    <phoneticPr fontId="1" type="noConversion"/>
  </si>
  <si>
    <t>是否盈利</t>
    <phoneticPr fontId="1" type="noConversion"/>
  </si>
  <si>
    <t>实际盈亏比</t>
    <phoneticPr fontId="1" type="noConversion"/>
  </si>
  <si>
    <t>策略类型</t>
    <phoneticPr fontId="1" type="noConversion"/>
  </si>
  <si>
    <t>买点逻辑</t>
    <phoneticPr fontId="1" type="noConversion"/>
  </si>
  <si>
    <t>宝新能源</t>
    <phoneticPr fontId="1" type="noConversion"/>
  </si>
  <si>
    <t>单笔风险1R(元）(按当前账户本金亏损的3%来算)</t>
    <phoneticPr fontId="1" type="noConversion"/>
  </si>
  <si>
    <t>短线</t>
    <phoneticPr fontId="1" type="noConversion"/>
  </si>
  <si>
    <t>止损止盈原因</t>
    <phoneticPr fontId="1" type="noConversion"/>
  </si>
  <si>
    <t>首板，集合竞价买入，博二板</t>
    <phoneticPr fontId="1" type="noConversion"/>
  </si>
  <si>
    <t>账户</t>
    <phoneticPr fontId="1" type="noConversion"/>
  </si>
  <si>
    <t>国信</t>
    <phoneticPr fontId="1" type="noConversion"/>
  </si>
  <si>
    <t>核心统计（仅统计已卖出交易）</t>
    <phoneticPr fontId="1" type="noConversion"/>
  </si>
  <si>
    <t>总交易次数（已卖出）</t>
  </si>
  <si>
    <t>盈利次数</t>
  </si>
  <si>
    <t>亏损次数</t>
  </si>
  <si>
    <t>胜率（%）</t>
  </si>
  <si>
    <t>总盈亏金额（元）</t>
  </si>
  <si>
    <t>平均每笔盈亏（元）</t>
  </si>
  <si>
    <t>平均盈利R数</t>
  </si>
  <si>
    <r>
      <rPr>
        <sz val="12"/>
        <color rgb="FF333333"/>
        <rFont val="宋体"/>
        <family val="3"/>
        <charset val="134"/>
      </rPr>
      <t>平均亏损</t>
    </r>
    <r>
      <rPr>
        <sz val="12"/>
        <color rgb="FF333333"/>
        <rFont val="Arial"/>
        <family val="2"/>
      </rPr>
      <t>R</t>
    </r>
    <r>
      <rPr>
        <sz val="12"/>
        <color rgb="FF333333"/>
        <rFont val="宋体"/>
        <family val="3"/>
        <charset val="134"/>
      </rPr>
      <t>数（绝对值）</t>
    </r>
    <phoneticPr fontId="1" type="noConversion"/>
  </si>
  <si>
    <r>
      <rPr>
        <sz val="12"/>
        <color rgb="FF333333"/>
        <rFont val="等线"/>
        <family val="2"/>
      </rPr>
      <t>实际盈亏比</t>
    </r>
    <phoneticPr fontId="1" type="noConversion"/>
  </si>
  <si>
    <t>每笔期望值（R）</t>
  </si>
  <si>
    <t>每笔期望值（元）</t>
  </si>
  <si>
    <t>总盈亏R数</t>
  </si>
  <si>
    <t>最大连续盈利次数</t>
  </si>
  <si>
    <t>最大连续亏损次数</t>
  </si>
  <si>
    <t>未卖出股票统计</t>
  </si>
  <si>
    <t>未卖出笔数</t>
  </si>
  <si>
    <t>未卖出总投入（元）</t>
  </si>
  <si>
    <t>未卖出交易不参与统计，避免影响数据准确性</t>
  </si>
  <si>
    <t>仅统计已完成的交易（买入+卖出）</t>
  </si>
  <si>
    <t>自动统计盈利交易的数量</t>
  </si>
  <si>
    <t>自动统计亏损交易的数量</t>
  </si>
  <si>
    <t>盈利次数÷总交易次数，自动保留小数（可设置保留2位）</t>
  </si>
  <si>
    <t>所有已卖出交易的盈亏总和（扣手续费）</t>
  </si>
  <si>
    <r>
      <rPr>
        <sz val="12"/>
        <color rgb="FF333333"/>
        <rFont val="宋体"/>
        <family val="3"/>
        <charset val="134"/>
      </rPr>
      <t>总盈亏</t>
    </r>
    <r>
      <rPr>
        <sz val="12"/>
        <color rgb="FF333333"/>
        <rFont val="Arial"/>
        <family val="2"/>
      </rPr>
      <t>÷</t>
    </r>
    <r>
      <rPr>
        <sz val="12"/>
        <color rgb="FF333333"/>
        <rFont val="宋体"/>
        <family val="3"/>
        <charset val="134"/>
      </rPr>
      <t>总交易次数，直观看每笔平均收益</t>
    </r>
    <phoneticPr fontId="1" type="noConversion"/>
  </si>
  <si>
    <t>仅统计盈利交易的平均R数，看盈利幅度</t>
  </si>
  <si>
    <t>仅统计亏损交易的平均R数（取绝对值），看亏损控制情况</t>
  </si>
  <si>
    <r>
      <rPr>
        <sz val="12"/>
        <color rgb="FF333333"/>
        <rFont val="宋体"/>
        <family val="3"/>
        <charset val="134"/>
      </rPr>
      <t>平均盈利</t>
    </r>
    <r>
      <rPr>
        <sz val="12"/>
        <color rgb="FF333333"/>
        <rFont val="Arial"/>
        <family val="2"/>
      </rPr>
      <t>R÷</t>
    </r>
    <r>
      <rPr>
        <sz val="12"/>
        <color rgb="FF333333"/>
        <rFont val="宋体"/>
        <family val="3"/>
        <charset val="134"/>
      </rPr>
      <t>平均亏损</t>
    </r>
    <r>
      <rPr>
        <sz val="12"/>
        <color rgb="FF333333"/>
        <rFont val="Arial"/>
        <family val="2"/>
      </rPr>
      <t>R</t>
    </r>
    <r>
      <rPr>
        <sz val="12"/>
        <color rgb="FF333333"/>
        <rFont val="宋体"/>
        <family val="3"/>
        <charset val="134"/>
      </rPr>
      <t>，对比预设</t>
    </r>
    <r>
      <rPr>
        <sz val="12"/>
        <color rgb="FF333333"/>
        <rFont val="Arial"/>
        <family val="2"/>
      </rPr>
      <t>3:1</t>
    </r>
    <r>
      <rPr>
        <sz val="12"/>
        <color rgb="FF333333"/>
        <rFont val="宋体"/>
        <family val="3"/>
        <charset val="134"/>
      </rPr>
      <t>目标，判断是否达标</t>
    </r>
    <phoneticPr fontId="1" type="noConversion"/>
  </si>
  <si>
    <t>核心公式！正=长期盈利，负=长期亏损，需重点关注</t>
  </si>
  <si>
    <t>将R数换算成金额，更直观看每笔平均预期收益</t>
  </si>
  <si>
    <t>所有已卖出交易的R数总和，看整体策略表现</t>
  </si>
  <si>
    <t>数组公式（输入后按Ctrl+Shift+Enter确认），看策略的盈利连贯性</t>
  </si>
  <si>
    <t>数组公式（按Ctrl+Shift+Enter确认），看策略的风险承受能力</t>
  </si>
  <si>
    <t>统计未完成交易，便于跟踪持仓情况</t>
  </si>
  <si>
    <r>
      <rPr>
        <sz val="12"/>
        <color rgb="FF333333"/>
        <rFont val="宋体"/>
        <family val="3"/>
        <charset val="134"/>
      </rPr>
      <t>总记录数</t>
    </r>
    <r>
      <rPr>
        <sz val="12"/>
        <color rgb="FF333333"/>
        <rFont val="Arial"/>
        <family val="2"/>
      </rPr>
      <t>-</t>
    </r>
    <r>
      <rPr>
        <sz val="12"/>
        <color rgb="FF333333"/>
        <rFont val="宋体"/>
        <family val="3"/>
        <charset val="134"/>
      </rPr>
      <t>已卖出交易数</t>
    </r>
    <r>
      <rPr>
        <sz val="12"/>
        <color rgb="FF333333"/>
        <rFont val="Arial"/>
        <family val="2"/>
      </rPr>
      <t>=</t>
    </r>
    <r>
      <rPr>
        <sz val="12"/>
        <color rgb="FF333333"/>
        <rFont val="宋体"/>
        <family val="3"/>
        <charset val="134"/>
      </rPr>
      <t>未卖出笔数</t>
    </r>
    <phoneticPr fontId="1" type="noConversion"/>
  </si>
  <si>
    <t>未卖出股票的总买入金额，便于管理仓位</t>
  </si>
  <si>
    <t>月份</t>
  </si>
  <si>
    <t>当月交易次数</t>
  </si>
  <si>
    <t>当月盈利次数</t>
  </si>
  <si>
    <t>当月胜率（%）</t>
  </si>
  <si>
    <t>当月总盈亏（元）</t>
  </si>
  <si>
    <t>当月收益率（%）</t>
  </si>
  <si>
    <t>累计盈亏（元）</t>
  </si>
  <si>
    <t>累计收益率（%）</t>
  </si>
  <si>
    <r>
      <t>=SUMPRODUCT((MONTH(交易记录!B:B)=A3)</t>
    </r>
    <r>
      <rPr>
        <i/>
        <sz val="12"/>
        <color rgb="FF333333"/>
        <rFont val="Arial"/>
        <family val="2"/>
      </rPr>
      <t>(YEAR(交易记录!B:B)=$A$1)</t>
    </r>
    <r>
      <rPr>
        <sz val="12"/>
        <color rgb="FF333333"/>
        <rFont val="Arial"/>
        <family val="2"/>
      </rPr>
      <t>(交易记录!K:K)</t>
    </r>
  </si>
  <si>
    <t>2026年</t>
    <phoneticPr fontId="1" type="noConversion"/>
  </si>
  <si>
    <t>自动统计当月已卖出的交易次数</t>
  </si>
  <si>
    <t>自动统计当月盈利的交易次数</t>
  </si>
  <si>
    <t>当月盈利次数÷当月交易次数</t>
  </si>
  <si>
    <t>自动统计当月所有已卖出交易的盈亏总和</t>
  </si>
  <si>
    <t>以5万本金为基准，计算当月收益率（可修改为本金实际金额）</t>
  </si>
  <si>
    <t>从1月份开始，累计到当月的总盈亏</t>
  </si>
  <si>
    <t>累计盈亏÷5万本金，看长期收益情况</t>
  </si>
  <si>
    <r>
      <t>=SUMPRODUCT((MONTH(交易记录!B:B)=A3)</t>
    </r>
    <r>
      <rPr>
        <i/>
        <sz val="12"/>
        <color rgb="FF333333"/>
        <rFont val="Arial"/>
        <family val="2"/>
      </rPr>
      <t>(YEAR(交易记录!B:B)=$A$2)(交易记录!K:K)</t>
    </r>
    <r>
      <rPr>
        <sz val="12"/>
        <color rgb="FF333333"/>
        <rFont val="Arial"/>
        <family val="2"/>
      </rPr>
      <t/>
    </r>
  </si>
  <si>
    <r>
      <t>=SUMPRODUCT((MONTH(交易记录!B:B)=A3)</t>
    </r>
    <r>
      <rPr>
        <i/>
        <sz val="12"/>
        <color rgb="FF333333"/>
        <rFont val="Arial"/>
        <family val="2"/>
      </rPr>
      <t>(YEAR(交易记录!B:B)=$A$3)(交易记录!K:K)</t>
    </r>
    <r>
      <rPr>
        <sz val="12"/>
        <color rgb="FF333333"/>
        <rFont val="Arial"/>
        <family val="2"/>
      </rPr>
      <t/>
    </r>
  </si>
  <si>
    <r>
      <t>=SUMPRODUCT((MONTH(交易记录!B:B)=A3)</t>
    </r>
    <r>
      <rPr>
        <i/>
        <sz val="12"/>
        <color rgb="FF333333"/>
        <rFont val="Arial"/>
        <family val="2"/>
      </rPr>
      <t>(YEAR(交易记录!B:B)=$A$4)(交易记录!K:K)</t>
    </r>
    <r>
      <rPr>
        <sz val="12"/>
        <color rgb="FF333333"/>
        <rFont val="Arial"/>
        <family val="2"/>
      </rPr>
      <t/>
    </r>
  </si>
  <si>
    <r>
      <t>=SUMPRODUCT((MONTH(交易记录!B:B)=A3)</t>
    </r>
    <r>
      <rPr>
        <i/>
        <sz val="12"/>
        <color rgb="FF333333"/>
        <rFont val="Arial"/>
        <family val="2"/>
      </rPr>
      <t>(YEAR(交易记录!B:B)=$A$5)(交易记录!K:K)</t>
    </r>
    <r>
      <rPr>
        <sz val="12"/>
        <color rgb="FF333333"/>
        <rFont val="Arial"/>
        <family val="2"/>
      </rPr>
      <t/>
    </r>
  </si>
  <si>
    <r>
      <t>=SUMPRODUCT((MONTH(交易记录!B:B)=A3)</t>
    </r>
    <r>
      <rPr>
        <i/>
        <sz val="12"/>
        <color rgb="FF333333"/>
        <rFont val="Arial"/>
        <family val="2"/>
      </rPr>
      <t>(YEAR(交易记录!B:B)=$A$6)(交易记录!K:K)</t>
    </r>
    <r>
      <rPr>
        <sz val="12"/>
        <color rgb="FF333333"/>
        <rFont val="Arial"/>
        <family val="2"/>
      </rPr>
      <t/>
    </r>
  </si>
  <si>
    <r>
      <t>=SUMPRODUCT((MONTH(交易记录!B:B)=A3)</t>
    </r>
    <r>
      <rPr>
        <i/>
        <sz val="12"/>
        <color rgb="FF333333"/>
        <rFont val="Arial"/>
        <family val="2"/>
      </rPr>
      <t>(YEAR(交易记录!B:B)=$A$7)(交易记录!K:K)</t>
    </r>
    <r>
      <rPr>
        <sz val="12"/>
        <color rgb="FF333333"/>
        <rFont val="Arial"/>
        <family val="2"/>
      </rPr>
      <t/>
    </r>
  </si>
  <si>
    <r>
      <t>=SUMPRODUCT((MONTH(交易记录!B:B)=A3)</t>
    </r>
    <r>
      <rPr>
        <i/>
        <sz val="12"/>
        <color rgb="FF333333"/>
        <rFont val="Arial"/>
        <family val="2"/>
      </rPr>
      <t>(YEAR(交易记录!B:B)=$A$8)(交易记录!K:K)</t>
    </r>
    <r>
      <rPr>
        <sz val="12"/>
        <color rgb="FF333333"/>
        <rFont val="Arial"/>
        <family val="2"/>
      </rPr>
      <t/>
    </r>
  </si>
  <si>
    <r>
      <t>=SUMPRODUCT((MONTH(交易记录!B:B)=A3)</t>
    </r>
    <r>
      <rPr>
        <i/>
        <sz val="12"/>
        <color rgb="FF333333"/>
        <rFont val="Arial"/>
        <family val="2"/>
      </rPr>
      <t>(YEAR(交易记录!B:B)=$A$9)(交易记录!K:K)</t>
    </r>
    <r>
      <rPr>
        <sz val="12"/>
        <color rgb="FF333333"/>
        <rFont val="Arial"/>
        <family val="2"/>
      </rPr>
      <t/>
    </r>
  </si>
  <si>
    <r>
      <t>=SUMPRODUCT((MONTH(交易记录!B:B)=A3)</t>
    </r>
    <r>
      <rPr>
        <i/>
        <sz val="12"/>
        <color rgb="FF333333"/>
        <rFont val="Arial"/>
        <family val="2"/>
      </rPr>
      <t>(YEAR(交易记录!B:B)=$A$10)(交易记录!K:K)</t>
    </r>
    <r>
      <rPr>
        <sz val="12"/>
        <color rgb="FF333333"/>
        <rFont val="Arial"/>
        <family val="2"/>
      </rPr>
      <t/>
    </r>
  </si>
  <si>
    <r>
      <t>=SUMPRODUCT((MONTH(交易记录!B:B)=A3)</t>
    </r>
    <r>
      <rPr>
        <i/>
        <sz val="12"/>
        <color rgb="FF333333"/>
        <rFont val="Arial"/>
        <family val="2"/>
      </rPr>
      <t>(YEAR(交易记录!B:B)=$A$11)(交易记录!K:K)</t>
    </r>
    <r>
      <rPr>
        <sz val="12"/>
        <color rgb="FF333333"/>
        <rFont val="Arial"/>
        <family val="2"/>
      </rPr>
      <t/>
    </r>
  </si>
  <si>
    <r>
      <t>=SUMPRODUCT((MONTH(交易记录!B:B)=A3)</t>
    </r>
    <r>
      <rPr>
        <i/>
        <sz val="12"/>
        <color rgb="FF333333"/>
        <rFont val="Arial"/>
        <family val="2"/>
      </rPr>
      <t>(YEAR(交易记录!B:B)=$A$12)(交易记录!K:K)</t>
    </r>
    <r>
      <rPr>
        <sz val="12"/>
        <color rgb="FF333333"/>
        <rFont val="Arial"/>
        <family val="2"/>
      </rPr>
      <t/>
    </r>
  </si>
  <si>
    <t>基础参数</t>
  </si>
  <si>
    <t>单笔风险1R（元）</t>
  </si>
  <si>
    <t>连续亏损测试</t>
  </si>
  <si>
    <t>连续亏损次数</t>
  </si>
  <si>
    <t>累计亏损金额（元）</t>
  </si>
  <si>
    <t>剩余本金（元）</t>
  </si>
  <si>
    <t>回本所需涨幅（%）</t>
  </si>
  <si>
    <t>风险提示</t>
  </si>
  <si>
    <t>初始本金（元）</t>
    <phoneticPr fontId="1" type="noConversion"/>
  </si>
  <si>
    <t>亏损1R的卖出价</t>
    <phoneticPr fontId="1" type="noConversion"/>
  </si>
  <si>
    <t>国信</t>
    <phoneticPr fontId="1" type="noConversion"/>
  </si>
  <si>
    <t>烽火通信</t>
    <phoneticPr fontId="1" type="noConversion"/>
  </si>
  <si>
    <t>中长线</t>
    <phoneticPr fontId="1" type="noConversion"/>
  </si>
  <si>
    <t>以为低点，想抄底的，结果炒到半山腰</t>
    <phoneticPr fontId="1" type="noConversion"/>
  </si>
  <si>
    <t>成本价(元)</t>
    <phoneticPr fontId="1" type="noConversion"/>
  </si>
  <si>
    <t>中信</t>
    <phoneticPr fontId="1" type="noConversion"/>
  </si>
  <si>
    <t>豫能控股</t>
    <phoneticPr fontId="1" type="noConversion"/>
  </si>
  <si>
    <t>短线</t>
    <phoneticPr fontId="1" type="noConversion"/>
  </si>
  <si>
    <t>算电协同，冲就完事了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</si>
</sst>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333333"/>
      <name val="Arial"/>
      <family val="2"/>
    </font>
    <font>
      <sz val="12"/>
      <color rgb="FF333333"/>
      <name val="宋体"/>
      <family val="3"/>
      <charset val="134"/>
    </font>
    <font>
      <sz val="12"/>
      <color rgb="FF333333"/>
      <name val="Arial"/>
      <family val="3"/>
      <charset val="134"/>
    </font>
    <font>
      <sz val="12"/>
      <color rgb="FF333333"/>
      <name val="等线"/>
      <family val="2"/>
    </font>
    <font>
      <sz val="11"/>
      <color rgb="FF0000FF"/>
      <name val="宋体"/>
      <family val="3"/>
      <charset val="134"/>
    </font>
    <font>
      <b/>
      <sz val="11"/>
      <name val="宋体"/>
      <family val="3"/>
      <charset val="134"/>
    </font>
    <font>
      <sz val="11"/>
      <color rgb="FF000000"/>
      <name val="宋体"/>
      <family val="3"/>
      <charset val="134"/>
    </font>
    <font>
      <i/>
      <sz val="12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7" fillId="4" borderId="0" xfId="0" applyFont="1" applyFill="1" applyAlignment="1">
      <alignment horizontal="center"/>
    </xf>
    <xf numFmtId="0" fontId="8" fillId="0" borderId="0" xfId="0" applyFont="1"/>
    <xf numFmtId="0" fontId="2" fillId="0" borderId="0" xfId="0" applyFont="1"/>
    <xf numFmtId="0" fontId="2" fillId="3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14" fontId="0" fillId="0" borderId="0" xfId="0" applyNumberFormat="1" applyAlignment="1">
      <alignment horizontal="center" vertical="center"/>
    </xf>
    <xf numFmtId="3" fontId="6" fillId="0" borderId="0" xfId="0" applyNumberFormat="1" applyFont="1"/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abSelected="1" workbookViewId="0">
      <selection activeCell="G13" sqref="G13"/>
    </sheetView>
  </sheetViews>
  <sheetFormatPr defaultRowHeight="14.25" x14ac:dyDescent="0.2"/>
  <cols>
    <col min="1" max="1" width="14.25" style="2" customWidth="1"/>
    <col min="2" max="2" width="16.125" style="2" customWidth="1"/>
    <col min="3" max="3" width="15.75" style="2" customWidth="1"/>
    <col min="4" max="4" width="17" style="2" customWidth="1"/>
    <col min="5" max="5" width="23.25" style="2" customWidth="1"/>
    <col min="6" max="6" width="18.875" style="2" customWidth="1"/>
    <col min="7" max="7" width="20.25" style="2" customWidth="1"/>
    <col min="8" max="8" width="17.625" style="2" customWidth="1"/>
    <col min="9" max="9" width="17.25" style="2" customWidth="1"/>
    <col min="10" max="10" width="11.375" style="2" customWidth="1"/>
    <col min="11" max="11" width="22.625" style="2" customWidth="1"/>
    <col min="12" max="12" width="15" style="2" customWidth="1"/>
    <col min="13" max="13" width="17.25" style="2" customWidth="1"/>
    <col min="14" max="14" width="19.875" style="2" customWidth="1"/>
    <col min="15" max="15" width="9" style="2"/>
    <col min="16" max="17" width="15.5" style="2" customWidth="1"/>
    <col min="18" max="18" width="13.625" style="2" customWidth="1"/>
    <col min="19" max="19" width="18.625" style="2" customWidth="1"/>
    <col min="20" max="20" width="16.875" style="2" customWidth="1"/>
    <col min="21" max="16384" width="9" style="2"/>
  </cols>
  <sheetData>
    <row r="1" spans="1:20" x14ac:dyDescent="0.2">
      <c r="A1" s="1" t="s">
        <v>20</v>
      </c>
      <c r="B1" s="1" t="s">
        <v>0</v>
      </c>
      <c r="C1" s="1" t="s">
        <v>1</v>
      </c>
      <c r="D1" s="1" t="s">
        <v>2</v>
      </c>
      <c r="E1" s="1" t="s">
        <v>100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10</v>
      </c>
      <c r="K1" s="1" t="s">
        <v>7</v>
      </c>
      <c r="L1" s="1" t="s">
        <v>8</v>
      </c>
      <c r="M1" s="1" t="s">
        <v>16</v>
      </c>
      <c r="N1" s="1" t="s">
        <v>9</v>
      </c>
      <c r="O1" s="1" t="s">
        <v>11</v>
      </c>
      <c r="P1" s="1" t="s">
        <v>12</v>
      </c>
      <c r="Q1" s="1" t="s">
        <v>95</v>
      </c>
      <c r="R1" s="1" t="s">
        <v>13</v>
      </c>
      <c r="S1" s="1" t="s">
        <v>14</v>
      </c>
      <c r="T1" s="1" t="s">
        <v>18</v>
      </c>
    </row>
    <row r="2" spans="1:20" x14ac:dyDescent="0.2">
      <c r="A2" s="2" t="s">
        <v>96</v>
      </c>
      <c r="B2" s="16">
        <v>46100</v>
      </c>
      <c r="C2" s="2">
        <v>600498</v>
      </c>
      <c r="D2" s="2" t="s">
        <v>97</v>
      </c>
      <c r="E2" s="1">
        <v>43.886000000000003</v>
      </c>
      <c r="F2" s="1"/>
      <c r="G2" s="1">
        <v>600</v>
      </c>
      <c r="H2" s="1">
        <f>E2*G2</f>
        <v>26331.600000000002</v>
      </c>
      <c r="I2" s="1">
        <f>F2*G2</f>
        <v>0</v>
      </c>
      <c r="J2" s="1"/>
      <c r="K2" s="1"/>
      <c r="L2" s="1"/>
      <c r="M2" s="1">
        <v>1500</v>
      </c>
      <c r="N2" s="1" t="str">
        <f>IF(F2&lt;&gt;"",K2/M2,"")</f>
        <v/>
      </c>
      <c r="O2" s="1" t="str">
        <f>IF(F2&lt;&gt;"",IF(K2&gt;0,"盈","亏"),"")</f>
        <v/>
      </c>
      <c r="P2" s="1" t="str">
        <f>IF(F2&lt;&gt;"",IF(K2&gt;0,ABS(K2)/M2,ABS(K2)/M2),"")</f>
        <v/>
      </c>
      <c r="Q2" s="1">
        <f>IF(E2&lt;&gt;"",(H2-J2-M2)/G2,"")</f>
        <v>41.386000000000003</v>
      </c>
      <c r="R2" s="1" t="s">
        <v>98</v>
      </c>
      <c r="S2" s="1" t="s">
        <v>99</v>
      </c>
      <c r="T2" s="1"/>
    </row>
    <row r="3" spans="1:20" x14ac:dyDescent="0.2">
      <c r="A3" s="1" t="s">
        <v>21</v>
      </c>
      <c r="B3" s="14">
        <v>46107</v>
      </c>
      <c r="C3" s="1">
        <v>690</v>
      </c>
      <c r="D3" s="1" t="s">
        <v>15</v>
      </c>
      <c r="E3" s="1">
        <v>5.8019999999999996</v>
      </c>
      <c r="F3" s="1"/>
      <c r="G3" s="1">
        <v>4100</v>
      </c>
      <c r="H3" s="1">
        <f>E3*G3</f>
        <v>23788.199999999997</v>
      </c>
      <c r="I3" s="1">
        <f>F3*G3</f>
        <v>0</v>
      </c>
      <c r="J3" s="1"/>
      <c r="K3" s="1" t="str">
        <f>IF(F3&lt;&gt;"",I3-H3-J3,"")</f>
        <v/>
      </c>
      <c r="L3" s="1" t="str">
        <f>IF(F3&lt;&gt;"",K3/H3*100,"")</f>
        <v/>
      </c>
      <c r="M3" s="1">
        <v>1500</v>
      </c>
      <c r="N3" s="1" t="str">
        <f>IF(F3&lt;&gt;"",K3/M3,"")</f>
        <v/>
      </c>
      <c r="O3" s="1" t="str">
        <f>IF(F3&lt;&gt;"",IF(K3&gt;0,"盈","亏"),"")</f>
        <v/>
      </c>
      <c r="P3" s="1" t="str">
        <f>IF(F3&lt;&gt;"",IF(K3&gt;0,ABS(K3)/M3,ABS(K3)/M3),"")</f>
        <v/>
      </c>
      <c r="Q3" s="1">
        <f>IF(E3&lt;&gt;"",(H3-J3-M3)/G3,"")</f>
        <v>5.4361463414634139</v>
      </c>
      <c r="R3" s="1" t="s">
        <v>17</v>
      </c>
      <c r="S3" s="1" t="s">
        <v>19</v>
      </c>
      <c r="T3" s="1"/>
    </row>
    <row r="4" spans="1:20" x14ac:dyDescent="0.2">
      <c r="A4" s="2" t="s">
        <v>101</v>
      </c>
      <c r="B4" s="16">
        <v>46108</v>
      </c>
      <c r="C4" s="2">
        <v>1896</v>
      </c>
      <c r="D4" s="2" t="s">
        <v>102</v>
      </c>
      <c r="E4" s="2">
        <v>15.624000000000001</v>
      </c>
      <c r="G4" s="2">
        <v>4300</v>
      </c>
      <c r="H4" s="1">
        <f>E4*G4</f>
        <v>67183.199999999997</v>
      </c>
      <c r="I4" s="1">
        <f>F4*G4</f>
        <v>0</v>
      </c>
      <c r="K4" s="1" t="str">
        <f>IF(F4&lt;&gt;"",I4-H4-J4,"")</f>
        <v/>
      </c>
      <c r="M4" s="2">
        <v>2100</v>
      </c>
      <c r="Q4" s="1">
        <f>IF(E4&lt;&gt;"",(H4-J4-M4)/G4,"")</f>
        <v>15.135627906976744</v>
      </c>
      <c r="R4" s="2" t="s">
        <v>103</v>
      </c>
      <c r="S4" s="2" t="s">
        <v>104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336D1-7469-4FCD-B06B-763F8BB665D8}">
  <dimension ref="A1:C18"/>
  <sheetViews>
    <sheetView workbookViewId="0">
      <selection activeCell="B22" sqref="B22"/>
    </sheetView>
  </sheetViews>
  <sheetFormatPr defaultRowHeight="14.25" x14ac:dyDescent="0.2"/>
  <cols>
    <col min="1" max="1" width="38.5" style="2" customWidth="1"/>
    <col min="2" max="2" width="31.25" style="2" customWidth="1"/>
    <col min="3" max="3" width="66.25" style="2" customWidth="1"/>
    <col min="4" max="16384" width="9" style="2"/>
  </cols>
  <sheetData>
    <row r="1" spans="1:3" ht="15" x14ac:dyDescent="0.2">
      <c r="B1" s="2" t="s">
        <v>22</v>
      </c>
      <c r="C1" s="3" t="s">
        <v>40</v>
      </c>
    </row>
    <row r="2" spans="1:3" ht="15" x14ac:dyDescent="0.2">
      <c r="A2" s="3">
        <f>COUNTIF(交易记录!O:O,"盈")+COUNTIF(交易记录!O:O,"亏")</f>
        <v>0</v>
      </c>
      <c r="B2" s="3" t="s">
        <v>23</v>
      </c>
      <c r="C2" s="3" t="s">
        <v>41</v>
      </c>
    </row>
    <row r="3" spans="1:3" ht="15.75" thickBot="1" x14ac:dyDescent="0.25">
      <c r="A3" s="3">
        <f>COUNTIF(交易记录!O:O,"盈")</f>
        <v>0</v>
      </c>
      <c r="B3" s="3" t="s">
        <v>24</v>
      </c>
      <c r="C3" s="3" t="s">
        <v>42</v>
      </c>
    </row>
    <row r="4" spans="1:3" ht="15.75" thickBot="1" x14ac:dyDescent="0.25">
      <c r="A4" s="6">
        <f>COUNTIF(交易记录!O:O,"亏")</f>
        <v>0</v>
      </c>
      <c r="B4" s="3" t="s">
        <v>25</v>
      </c>
      <c r="C4" s="3" t="s">
        <v>43</v>
      </c>
    </row>
    <row r="5" spans="1:3" ht="15.75" thickBot="1" x14ac:dyDescent="0.25">
      <c r="A5" s="5" t="str">
        <f>IF(A2&gt;0,A3/A2*100,"0")</f>
        <v>0</v>
      </c>
      <c r="B5" s="3" t="s">
        <v>26</v>
      </c>
      <c r="C5" s="3" t="s">
        <v>44</v>
      </c>
    </row>
    <row r="6" spans="1:3" ht="15.75" thickBot="1" x14ac:dyDescent="0.25">
      <c r="A6" s="6">
        <f>SUM(交易记录!K:K)</f>
        <v>0</v>
      </c>
      <c r="B6" s="3" t="s">
        <v>27</v>
      </c>
      <c r="C6" s="3" t="s">
        <v>45</v>
      </c>
    </row>
    <row r="7" spans="1:3" ht="15" x14ac:dyDescent="0.2">
      <c r="A7" s="3" t="str">
        <f>IF(A2&gt;0,A6/A2,"0")</f>
        <v>0</v>
      </c>
      <c r="B7" s="3" t="s">
        <v>28</v>
      </c>
      <c r="C7" s="4" t="s">
        <v>46</v>
      </c>
    </row>
    <row r="8" spans="1:3" ht="15.75" thickBot="1" x14ac:dyDescent="0.25">
      <c r="A8" s="3" t="str">
        <f>IF(A3&gt;0,AVERAGEIF(交易记录!N:N,"&gt;0",交易记录!N:N),"0")</f>
        <v>0</v>
      </c>
      <c r="B8" s="3" t="s">
        <v>29</v>
      </c>
      <c r="C8" s="3" t="s">
        <v>47</v>
      </c>
    </row>
    <row r="9" spans="1:3" ht="15.75" thickBot="1" x14ac:dyDescent="0.25">
      <c r="A9" s="3" t="str">
        <f>IF(A4&gt;0,ABS(AVERAGEIF(交易记录!N:N,"&lt;0",交易记录!N:N)),"0")</f>
        <v>0</v>
      </c>
      <c r="B9" s="4" t="s">
        <v>30</v>
      </c>
      <c r="C9" s="5" t="s">
        <v>48</v>
      </c>
    </row>
    <row r="10" spans="1:3" ht="16.5" thickBot="1" x14ac:dyDescent="0.3">
      <c r="A10" s="3" t="e">
        <f>IF(A9&gt;0,A8/A9,"0")</f>
        <v>#DIV/0!</v>
      </c>
      <c r="B10" s="4" t="s">
        <v>31</v>
      </c>
      <c r="C10" s="4" t="s">
        <v>49</v>
      </c>
    </row>
    <row r="11" spans="1:3" ht="15.75" thickBot="1" x14ac:dyDescent="0.25">
      <c r="A11" s="2" t="str">
        <f>IF(A2&gt;0,(A5/100)*A8 - (1-A5/100)*A9,"0")</f>
        <v>0</v>
      </c>
      <c r="B11" s="5" t="s">
        <v>32</v>
      </c>
      <c r="C11" s="3" t="s">
        <v>50</v>
      </c>
    </row>
    <row r="12" spans="1:3" ht="15" x14ac:dyDescent="0.2">
      <c r="A12" s="3" t="str">
        <f>IF(A2&gt;0,A11*AVERAGEIF(交易记录!M:M,"&gt;0",交易记录!M:M),"0")</f>
        <v>0</v>
      </c>
      <c r="B12" s="3" t="s">
        <v>33</v>
      </c>
      <c r="C12" s="3" t="s">
        <v>51</v>
      </c>
    </row>
    <row r="13" spans="1:3" ht="15" x14ac:dyDescent="0.2">
      <c r="A13" s="3">
        <f>SUM(交易记录!N:N)</f>
        <v>0</v>
      </c>
      <c r="B13" s="3" t="s">
        <v>34</v>
      </c>
      <c r="C13" s="3" t="s">
        <v>52</v>
      </c>
    </row>
    <row r="14" spans="1:3" ht="15" x14ac:dyDescent="0.2">
      <c r="A14" s="3">
        <f t="array" ref="A14">MAX(FREQUENCY(IF(交易记录!O:O="盈",ROW(交易记录!O:O)),IF(交易记录!O:O&lt;&gt;"盈",ROW(交易记录!O:O))))</f>
        <v>0</v>
      </c>
      <c r="B14" s="3" t="s">
        <v>35</v>
      </c>
      <c r="C14" s="3" t="s">
        <v>53</v>
      </c>
    </row>
    <row r="15" spans="1:3" ht="15" x14ac:dyDescent="0.2">
      <c r="A15" s="3">
        <f t="array" ref="A15">MAX(FREQUENCY(IF(交易记录!O:O="亏",ROW(交易记录!O:O)),IF(交易记录!O:O&lt;&gt;"亏",ROW(交易记录!O:O))))</f>
        <v>0</v>
      </c>
      <c r="B15" s="3" t="s">
        <v>36</v>
      </c>
      <c r="C15" s="3" t="s">
        <v>54</v>
      </c>
    </row>
    <row r="16" spans="1:3" ht="15.75" thickBot="1" x14ac:dyDescent="0.25">
      <c r="B16" s="3" t="s">
        <v>37</v>
      </c>
      <c r="C16" s="3" t="s">
        <v>55</v>
      </c>
    </row>
    <row r="17" spans="1:3" ht="15.75" thickBot="1" x14ac:dyDescent="0.25">
      <c r="A17" s="5">
        <f>COUNTA(交易记录!A:A)-1-A2</f>
        <v>3</v>
      </c>
      <c r="B17" s="5" t="s">
        <v>38</v>
      </c>
      <c r="C17" s="4" t="s">
        <v>56</v>
      </c>
    </row>
    <row r="18" spans="1:3" ht="15" x14ac:dyDescent="0.2">
      <c r="A18" s="3">
        <f>SUMIF(交易记录!F:F,"",交易记录!H:H)</f>
        <v>117303</v>
      </c>
      <c r="B18" s="3" t="s">
        <v>39</v>
      </c>
      <c r="C18" s="3" t="s">
        <v>57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714E-F2BC-4665-BF6D-241F20928B65}">
  <dimension ref="A1:H14"/>
  <sheetViews>
    <sheetView workbookViewId="0">
      <selection activeCell="D11" sqref="D11"/>
    </sheetView>
  </sheetViews>
  <sheetFormatPr defaultRowHeight="14.25" x14ac:dyDescent="0.2"/>
  <cols>
    <col min="1" max="1" width="14.125" customWidth="1"/>
    <col min="2" max="2" width="36.5" customWidth="1"/>
    <col min="3" max="3" width="21.375" customWidth="1"/>
    <col min="4" max="4" width="18.5" customWidth="1"/>
    <col min="5" max="5" width="24.625" customWidth="1"/>
    <col min="6" max="6" width="19.5" customWidth="1"/>
    <col min="7" max="7" width="21.75" customWidth="1"/>
    <col min="8" max="8" width="15.25" customWidth="1"/>
    <col min="9" max="9" width="26.5" customWidth="1"/>
  </cols>
  <sheetData>
    <row r="1" spans="1:8" ht="30.75" thickBot="1" x14ac:dyDescent="0.25">
      <c r="A1" s="7" t="s">
        <v>67</v>
      </c>
      <c r="B1" s="11" t="s">
        <v>68</v>
      </c>
      <c r="C1" s="12" t="s">
        <v>69</v>
      </c>
      <c r="D1" s="13" t="s">
        <v>70</v>
      </c>
      <c r="E1" s="11" t="s">
        <v>71</v>
      </c>
      <c r="F1" t="s">
        <v>72</v>
      </c>
      <c r="G1" s="11" t="s">
        <v>73</v>
      </c>
      <c r="H1" s="11" t="s">
        <v>74</v>
      </c>
    </row>
    <row r="2" spans="1:8" x14ac:dyDescent="0.2">
      <c r="A2" s="9" t="s">
        <v>58</v>
      </c>
      <c r="B2" s="9" t="s">
        <v>59</v>
      </c>
      <c r="C2" s="9" t="s">
        <v>60</v>
      </c>
      <c r="D2" s="9" t="s">
        <v>61</v>
      </c>
      <c r="E2" s="9" t="s">
        <v>62</v>
      </c>
      <c r="F2" s="9" t="s">
        <v>63</v>
      </c>
      <c r="G2" s="9" t="s">
        <v>64</v>
      </c>
      <c r="H2" s="9" t="s">
        <v>65</v>
      </c>
    </row>
    <row r="3" spans="1:8" ht="15" x14ac:dyDescent="0.2">
      <c r="A3" s="7">
        <v>1</v>
      </c>
      <c r="B3" s="11" t="e">
        <f>SUMPRODUCT((MONTH(交易记录!B:B)=A3)*(YEAR(交易记录!B:B)=$A$1)*(交易记录!O:O&lt;&gt;""))</f>
        <v>#VALUE!</v>
      </c>
      <c r="C3" s="11" t="e">
        <f t="array" ref="C3">SUMPRODUCT((MONTH(交易记录!B:B)=A3)*(YEAR(交易记录!B:B)=$A$1)*(交易记录!O:O="盈"))</f>
        <v>#VALUE!</v>
      </c>
      <c r="D3" s="11" t="e">
        <f>IF(B3&gt;0,C3/B3*100,"0")</f>
        <v>#VALUE!</v>
      </c>
      <c r="E3" s="11" t="s">
        <v>66</v>
      </c>
      <c r="F3" s="10" t="e">
        <f>IF(E3&gt;0,E3/50000*100,"0")</f>
        <v>#VALUE!</v>
      </c>
      <c r="G3" s="11">
        <f>SUM($E$3:E3)</f>
        <v>0</v>
      </c>
      <c r="H3" s="11" t="str">
        <f>IF(G3&gt;0,G3/50000*100,"0")</f>
        <v>0</v>
      </c>
    </row>
    <row r="4" spans="1:8" ht="15" x14ac:dyDescent="0.2">
      <c r="A4" s="7">
        <v>2</v>
      </c>
      <c r="B4" s="11" t="e">
        <f>SUMPRODUCT((MONTH(交易记录!B:B)=A4)*(YEAR(交易记录!B:B)=$A$1)*(交易记录!O:O&lt;&gt;""))</f>
        <v>#VALUE!</v>
      </c>
      <c r="C4" s="11" t="e">
        <f t="array" ref="C4">SUMPRODUCT((MONTH(交易记录!B:B)=A4)*(YEAR(交易记录!B:B)=$A$1)*(交易记录!O:O="盈"))</f>
        <v>#VALUE!</v>
      </c>
      <c r="D4" s="11" t="e">
        <f t="shared" ref="D4:D14" si="0">IF(B4&gt;0,C4/B4*100,"0")</f>
        <v>#VALUE!</v>
      </c>
      <c r="E4" s="11" t="s">
        <v>75</v>
      </c>
      <c r="F4" s="10" t="e">
        <f t="shared" ref="F4:F14" si="1">IF(E4&gt;0,E4/50000*100,"0")</f>
        <v>#VALUE!</v>
      </c>
      <c r="G4" s="11">
        <f>SUM($E$3:E4)</f>
        <v>0</v>
      </c>
      <c r="H4" s="11" t="str">
        <f t="shared" ref="H4:H14" si="2">IF(G4&gt;0,G4/50000*100,"0")</f>
        <v>0</v>
      </c>
    </row>
    <row r="5" spans="1:8" ht="15" x14ac:dyDescent="0.2">
      <c r="A5" s="7">
        <v>3</v>
      </c>
      <c r="B5" s="11" t="e">
        <f>SUMPRODUCT((MONTH(交易记录!B:B)=A5)*(YEAR(交易记录!B:B)=$A$1)*(交易记录!O:O&lt;&gt;""))</f>
        <v>#VALUE!</v>
      </c>
      <c r="C5" s="11" t="e">
        <f t="array" ref="C5">SUMPRODUCT((MONTH(交易记录!B:B)=A5)*(YEAR(交易记录!B:B)=$A$1)*(交易记录!O:O="盈"))</f>
        <v>#VALUE!</v>
      </c>
      <c r="D5" s="11" t="e">
        <f t="shared" si="0"/>
        <v>#VALUE!</v>
      </c>
      <c r="E5" s="11" t="s">
        <v>76</v>
      </c>
      <c r="F5" s="10" t="e">
        <f t="shared" si="1"/>
        <v>#VALUE!</v>
      </c>
      <c r="G5" s="11">
        <f>SUM($E$3:E5)</f>
        <v>0</v>
      </c>
      <c r="H5" s="11" t="str">
        <f t="shared" si="2"/>
        <v>0</v>
      </c>
    </row>
    <row r="6" spans="1:8" ht="15" x14ac:dyDescent="0.2">
      <c r="A6" s="7">
        <v>4</v>
      </c>
      <c r="B6" s="11" t="e">
        <f>SUMPRODUCT((MONTH(交易记录!B:B)=A6)*(YEAR(交易记录!B:B)=$A$1)*(交易记录!O:O&lt;&gt;""))</f>
        <v>#VALUE!</v>
      </c>
      <c r="C6" s="11" t="e">
        <f t="array" ref="C6">SUMPRODUCT((MONTH(交易记录!B:B)=A6)*(YEAR(交易记录!B:B)=$A$1)*(交易记录!O:O="盈"))</f>
        <v>#VALUE!</v>
      </c>
      <c r="D6" s="11" t="e">
        <f t="shared" si="0"/>
        <v>#VALUE!</v>
      </c>
      <c r="E6" s="11" t="s">
        <v>77</v>
      </c>
      <c r="F6" s="10" t="e">
        <f t="shared" si="1"/>
        <v>#VALUE!</v>
      </c>
      <c r="G6" s="11">
        <f>SUM($E$3:E6)</f>
        <v>0</v>
      </c>
      <c r="H6" s="11" t="str">
        <f t="shared" si="2"/>
        <v>0</v>
      </c>
    </row>
    <row r="7" spans="1:8" ht="15" x14ac:dyDescent="0.2">
      <c r="A7" s="7">
        <v>5</v>
      </c>
      <c r="B7" s="11" t="e">
        <f>SUMPRODUCT((MONTH(交易记录!B:B)=A7)*(YEAR(交易记录!B:B)=$A$1)*(交易记录!O:O&lt;&gt;""))</f>
        <v>#VALUE!</v>
      </c>
      <c r="C7" s="11" t="e">
        <f t="array" ref="C7">SUMPRODUCT((MONTH(交易记录!B:B)=A7)*(YEAR(交易记录!B:B)=$A$1)*(交易记录!O:O="盈"))</f>
        <v>#VALUE!</v>
      </c>
      <c r="D7" s="11" t="e">
        <f t="shared" si="0"/>
        <v>#VALUE!</v>
      </c>
      <c r="E7" s="11" t="s">
        <v>78</v>
      </c>
      <c r="F7" s="10" t="e">
        <f t="shared" si="1"/>
        <v>#VALUE!</v>
      </c>
      <c r="G7" s="11">
        <f>SUM($E$3:E7)</f>
        <v>0</v>
      </c>
      <c r="H7" s="11" t="str">
        <f t="shared" si="2"/>
        <v>0</v>
      </c>
    </row>
    <row r="8" spans="1:8" ht="15" x14ac:dyDescent="0.2">
      <c r="A8" s="7">
        <v>6</v>
      </c>
      <c r="B8" s="11" t="e">
        <f>SUMPRODUCT((MONTH(交易记录!B:B)=A8)*(YEAR(交易记录!B:B)=$A$1)*(交易记录!O:O&lt;&gt;""))</f>
        <v>#VALUE!</v>
      </c>
      <c r="C8" s="11" t="e">
        <f t="array" ref="C8">SUMPRODUCT((MONTH(交易记录!B:B)=A8)*(YEAR(交易记录!B:B)=$A$1)*(交易记录!O:O="盈"))</f>
        <v>#VALUE!</v>
      </c>
      <c r="D8" s="11" t="e">
        <f t="shared" si="0"/>
        <v>#VALUE!</v>
      </c>
      <c r="E8" s="11" t="s">
        <v>79</v>
      </c>
      <c r="F8" s="10" t="e">
        <f t="shared" si="1"/>
        <v>#VALUE!</v>
      </c>
      <c r="G8" s="11">
        <f>SUM($E$3:E8)</f>
        <v>0</v>
      </c>
      <c r="H8" s="11" t="str">
        <f t="shared" si="2"/>
        <v>0</v>
      </c>
    </row>
    <row r="9" spans="1:8" ht="15" x14ac:dyDescent="0.2">
      <c r="A9" s="7">
        <v>7</v>
      </c>
      <c r="B9" s="11" t="e">
        <f>SUMPRODUCT((MONTH(交易记录!B:B)=A9)*(YEAR(交易记录!B:B)=$A$1)*(交易记录!O:O&lt;&gt;""))</f>
        <v>#VALUE!</v>
      </c>
      <c r="C9" s="11" t="e">
        <f t="array" ref="C9">SUMPRODUCT((MONTH(交易记录!B:B)=A9)*(YEAR(交易记录!B:B)=$A$1)*(交易记录!O:O="盈"))</f>
        <v>#VALUE!</v>
      </c>
      <c r="D9" s="11" t="e">
        <f t="shared" si="0"/>
        <v>#VALUE!</v>
      </c>
      <c r="E9" s="11" t="s">
        <v>80</v>
      </c>
      <c r="F9" s="10" t="e">
        <f t="shared" si="1"/>
        <v>#VALUE!</v>
      </c>
      <c r="G9" s="11">
        <f>SUM($E$3:E9)</f>
        <v>0</v>
      </c>
      <c r="H9" s="11" t="str">
        <f t="shared" si="2"/>
        <v>0</v>
      </c>
    </row>
    <row r="10" spans="1:8" ht="15" x14ac:dyDescent="0.2">
      <c r="A10" s="7">
        <v>8</v>
      </c>
      <c r="B10" s="11" t="e">
        <f>SUMPRODUCT((MONTH(交易记录!B:B)=A10)*(YEAR(交易记录!B:B)=$A$1)*(交易记录!O:O&lt;&gt;""))</f>
        <v>#VALUE!</v>
      </c>
      <c r="C10" s="11" t="e">
        <f t="array" ref="C10">SUMPRODUCT((MONTH(交易记录!B:B)=A10)*(YEAR(交易记录!B:B)=$A$1)*(交易记录!O:O="盈"))</f>
        <v>#VALUE!</v>
      </c>
      <c r="D10" s="11" t="e">
        <f t="shared" si="0"/>
        <v>#VALUE!</v>
      </c>
      <c r="E10" s="11" t="s">
        <v>81</v>
      </c>
      <c r="F10" s="10" t="e">
        <f t="shared" si="1"/>
        <v>#VALUE!</v>
      </c>
      <c r="G10" s="11">
        <f>SUM($E$3:E10)</f>
        <v>0</v>
      </c>
      <c r="H10" s="11" t="str">
        <f t="shared" si="2"/>
        <v>0</v>
      </c>
    </row>
    <row r="11" spans="1:8" ht="15" x14ac:dyDescent="0.2">
      <c r="A11" s="7">
        <v>9</v>
      </c>
      <c r="B11" s="11" t="e">
        <f>SUMPRODUCT((MONTH(交易记录!B:B)=A11)*(YEAR(交易记录!B:B)=$A$1)*(交易记录!O:O&lt;&gt;""))</f>
        <v>#VALUE!</v>
      </c>
      <c r="C11" s="11" t="e">
        <f t="array" ref="C11">SUMPRODUCT((MONTH(交易记录!B:B)=A11)*(YEAR(交易记录!B:B)=$A$1)*(交易记录!O:O="盈"))</f>
        <v>#VALUE!</v>
      </c>
      <c r="D11" s="11" t="e">
        <f t="shared" si="0"/>
        <v>#VALUE!</v>
      </c>
      <c r="E11" s="11" t="s">
        <v>82</v>
      </c>
      <c r="F11" s="10" t="e">
        <f t="shared" si="1"/>
        <v>#VALUE!</v>
      </c>
      <c r="G11" s="11">
        <f>SUM($E$3:E11)</f>
        <v>0</v>
      </c>
      <c r="H11" s="11" t="str">
        <f t="shared" si="2"/>
        <v>0</v>
      </c>
    </row>
    <row r="12" spans="1:8" ht="15" x14ac:dyDescent="0.2">
      <c r="A12" s="7">
        <v>10</v>
      </c>
      <c r="B12" s="11" t="e">
        <f>SUMPRODUCT((MONTH(交易记录!B:B)=A12)*(YEAR(交易记录!B:B)=$A$1)*(交易记录!O:O&lt;&gt;""))</f>
        <v>#VALUE!</v>
      </c>
      <c r="C12" s="11" t="e">
        <f t="array" ref="C12">SUMPRODUCT((MONTH(交易记录!B:B)=A12)*(YEAR(交易记录!B:B)=$A$1)*(交易记录!O:O="盈"))</f>
        <v>#VALUE!</v>
      </c>
      <c r="D12" s="11" t="e">
        <f t="shared" si="0"/>
        <v>#VALUE!</v>
      </c>
      <c r="E12" s="11" t="s">
        <v>83</v>
      </c>
      <c r="F12" s="10" t="e">
        <f t="shared" si="1"/>
        <v>#VALUE!</v>
      </c>
      <c r="G12" s="11">
        <f>SUM($E$3:E12)</f>
        <v>0</v>
      </c>
      <c r="H12" s="11" t="str">
        <f t="shared" si="2"/>
        <v>0</v>
      </c>
    </row>
    <row r="13" spans="1:8" ht="15" x14ac:dyDescent="0.2">
      <c r="A13" s="7">
        <v>11</v>
      </c>
      <c r="B13" s="11" t="e">
        <f>SUMPRODUCT((MONTH(交易记录!B:B)=A13)*(YEAR(交易记录!B:B)=$A$1)*(交易记录!O:O&lt;&gt;""))</f>
        <v>#VALUE!</v>
      </c>
      <c r="C13" s="11" t="e">
        <f t="array" ref="C13">SUMPRODUCT((MONTH(交易记录!B:B)=A13)*(YEAR(交易记录!B:B)=$A$1)*(交易记录!O:O="盈"))</f>
        <v>#VALUE!</v>
      </c>
      <c r="D13" s="11" t="e">
        <f t="shared" si="0"/>
        <v>#VALUE!</v>
      </c>
      <c r="E13" s="11" t="s">
        <v>84</v>
      </c>
      <c r="F13" s="10" t="e">
        <f t="shared" si="1"/>
        <v>#VALUE!</v>
      </c>
      <c r="G13" s="11">
        <f>SUM($E$3:E13)</f>
        <v>0</v>
      </c>
      <c r="H13" s="11" t="str">
        <f t="shared" si="2"/>
        <v>0</v>
      </c>
    </row>
    <row r="14" spans="1:8" ht="15" x14ac:dyDescent="0.2">
      <c r="A14" s="7">
        <v>12</v>
      </c>
      <c r="B14" s="11" t="e">
        <f>SUMPRODUCT((MONTH(交易记录!B:B)=A14)*(YEAR(交易记录!B:B)=$A$1)*(交易记录!O:O&lt;&gt;""))</f>
        <v>#VALUE!</v>
      </c>
      <c r="C14" s="11" t="e">
        <f t="array" ref="C14">SUMPRODUCT((MONTH(交易记录!B:B)=A14)*(YEAR(交易记录!B:B)=$A$1)*(交易记录!O:O="盈"))</f>
        <v>#VALUE!</v>
      </c>
      <c r="D14" s="11" t="e">
        <f t="shared" si="0"/>
        <v>#VALUE!</v>
      </c>
      <c r="E14" s="11" t="s">
        <v>85</v>
      </c>
      <c r="F14" s="10" t="e">
        <f t="shared" si="1"/>
        <v>#VALUE!</v>
      </c>
      <c r="G14" s="11">
        <f>SUM($E$3:E14)</f>
        <v>0</v>
      </c>
      <c r="H14" s="11" t="str">
        <f t="shared" si="2"/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28AA-D536-48CA-880D-169861BBEC53}">
  <dimension ref="A1:E16"/>
  <sheetViews>
    <sheetView workbookViewId="0">
      <selection activeCell="C8" sqref="C8"/>
    </sheetView>
  </sheetViews>
  <sheetFormatPr defaultRowHeight="14.25" x14ac:dyDescent="0.2"/>
  <cols>
    <col min="1" max="1" width="22.875" customWidth="1"/>
    <col min="2" max="2" width="19.25" customWidth="1"/>
    <col min="3" max="3" width="21.875" customWidth="1"/>
    <col min="4" max="4" width="28.875" customWidth="1"/>
    <col min="5" max="5" width="33" customWidth="1"/>
  </cols>
  <sheetData>
    <row r="1" spans="1:5" x14ac:dyDescent="0.2">
      <c r="A1" s="8" t="s">
        <v>86</v>
      </c>
    </row>
    <row r="2" spans="1:5" ht="15" thickBot="1" x14ac:dyDescent="0.25">
      <c r="A2" s="15" t="s">
        <v>94</v>
      </c>
      <c r="B2">
        <v>50000</v>
      </c>
    </row>
    <row r="3" spans="1:5" ht="21" customHeight="1" thickBot="1" x14ac:dyDescent="0.25">
      <c r="A3" s="13" t="s">
        <v>87</v>
      </c>
      <c r="B3">
        <f>AVERAGEIF(交易记录!M:M,"&gt;0",交易记录!M:M)</f>
        <v>1700</v>
      </c>
    </row>
    <row r="5" spans="1:5" x14ac:dyDescent="0.2">
      <c r="A5" s="8" t="s">
        <v>88</v>
      </c>
    </row>
    <row r="6" spans="1:5" x14ac:dyDescent="0.2">
      <c r="A6" s="9" t="s">
        <v>89</v>
      </c>
      <c r="B6" s="9" t="s">
        <v>90</v>
      </c>
      <c r="C6" s="9" t="s">
        <v>91</v>
      </c>
      <c r="D6" s="9" t="s">
        <v>92</v>
      </c>
      <c r="E6" s="9" t="s">
        <v>93</v>
      </c>
    </row>
    <row r="7" spans="1:5" x14ac:dyDescent="0.2">
      <c r="A7" s="7">
        <v>1</v>
      </c>
      <c r="B7" s="10">
        <f>A7*$B$3</f>
        <v>1700</v>
      </c>
      <c r="C7" s="10">
        <f>$B$2-B7</f>
        <v>48300</v>
      </c>
      <c r="D7" s="10">
        <f>IF(C7&lt;$B$2,($B$2-C7)/C7*100,"0")</f>
        <v>3.5196687370600417</v>
      </c>
      <c r="E7" s="10" t="str">
        <f t="shared" ref="E7:E16" si="0">IF(D7&gt;10,"风险较高，需控制连续亏损次数","风险可控")</f>
        <v>风险可控</v>
      </c>
    </row>
    <row r="8" spans="1:5" x14ac:dyDescent="0.2">
      <c r="A8" s="7">
        <v>2</v>
      </c>
      <c r="B8" s="10">
        <f t="shared" ref="B8:B16" si="1">A8*$B$3</f>
        <v>3400</v>
      </c>
      <c r="C8" s="10">
        <f t="shared" ref="C8:C16" si="2">$B$2-B8</f>
        <v>46600</v>
      </c>
      <c r="D8" s="10">
        <f t="shared" ref="D8:D16" si="3">IF(C8&lt;$B$2,($B$2-C8)/C8*100,"0")</f>
        <v>7.296137339055794</v>
      </c>
      <c r="E8" s="10" t="str">
        <f t="shared" si="0"/>
        <v>风险可控</v>
      </c>
    </row>
    <row r="9" spans="1:5" x14ac:dyDescent="0.2">
      <c r="A9" s="7">
        <v>3</v>
      </c>
      <c r="B9" s="10">
        <f t="shared" si="1"/>
        <v>5100</v>
      </c>
      <c r="C9" s="10">
        <f t="shared" si="2"/>
        <v>44900</v>
      </c>
      <c r="D9" s="10">
        <f t="shared" si="3"/>
        <v>11.358574610244988</v>
      </c>
      <c r="E9" s="10" t="str">
        <f t="shared" si="0"/>
        <v>风险较高，需控制连续亏损次数</v>
      </c>
    </row>
    <row r="10" spans="1:5" x14ac:dyDescent="0.2">
      <c r="A10" s="7">
        <v>4</v>
      </c>
      <c r="B10" s="10">
        <f t="shared" si="1"/>
        <v>6800</v>
      </c>
      <c r="C10" s="10">
        <f t="shared" si="2"/>
        <v>43200</v>
      </c>
      <c r="D10" s="10">
        <f t="shared" si="3"/>
        <v>15.74074074074074</v>
      </c>
      <c r="E10" s="10" t="str">
        <f t="shared" si="0"/>
        <v>风险较高，需控制连续亏损次数</v>
      </c>
    </row>
    <row r="11" spans="1:5" x14ac:dyDescent="0.2">
      <c r="A11" s="7">
        <v>5</v>
      </c>
      <c r="B11" s="10">
        <f t="shared" si="1"/>
        <v>8500</v>
      </c>
      <c r="C11" s="10">
        <f t="shared" si="2"/>
        <v>41500</v>
      </c>
      <c r="D11" s="10">
        <f t="shared" si="3"/>
        <v>20.481927710843372</v>
      </c>
      <c r="E11" s="10" t="str">
        <f t="shared" si="0"/>
        <v>风险较高，需控制连续亏损次数</v>
      </c>
    </row>
    <row r="12" spans="1:5" x14ac:dyDescent="0.2">
      <c r="A12" s="7">
        <v>6</v>
      </c>
      <c r="B12" s="10">
        <f t="shared" si="1"/>
        <v>10200</v>
      </c>
      <c r="C12" s="10">
        <f t="shared" si="2"/>
        <v>39800</v>
      </c>
      <c r="D12" s="10">
        <f t="shared" si="3"/>
        <v>25.628140703517587</v>
      </c>
      <c r="E12" s="10" t="str">
        <f t="shared" si="0"/>
        <v>风险较高，需控制连续亏损次数</v>
      </c>
    </row>
    <row r="13" spans="1:5" x14ac:dyDescent="0.2">
      <c r="A13" s="7">
        <v>7</v>
      </c>
      <c r="B13" s="10">
        <f t="shared" si="1"/>
        <v>11900</v>
      </c>
      <c r="C13" s="10">
        <f t="shared" si="2"/>
        <v>38100</v>
      </c>
      <c r="D13" s="10">
        <f t="shared" si="3"/>
        <v>31.233595800524931</v>
      </c>
      <c r="E13" s="10" t="str">
        <f t="shared" si="0"/>
        <v>风险较高，需控制连续亏损次数</v>
      </c>
    </row>
    <row r="14" spans="1:5" x14ac:dyDescent="0.2">
      <c r="A14" s="7">
        <v>8</v>
      </c>
      <c r="B14" s="10">
        <f t="shared" si="1"/>
        <v>13600</v>
      </c>
      <c r="C14" s="10">
        <f t="shared" si="2"/>
        <v>36400</v>
      </c>
      <c r="D14" s="10">
        <f t="shared" si="3"/>
        <v>37.362637362637365</v>
      </c>
      <c r="E14" s="10" t="str">
        <f t="shared" si="0"/>
        <v>风险较高，需控制连续亏损次数</v>
      </c>
    </row>
    <row r="15" spans="1:5" x14ac:dyDescent="0.2">
      <c r="A15" s="7">
        <v>9</v>
      </c>
      <c r="B15" s="10">
        <f t="shared" si="1"/>
        <v>15300</v>
      </c>
      <c r="C15" s="10">
        <f t="shared" si="2"/>
        <v>34700</v>
      </c>
      <c r="D15" s="10">
        <f t="shared" si="3"/>
        <v>44.092219020172912</v>
      </c>
      <c r="E15" s="10" t="str">
        <f t="shared" si="0"/>
        <v>风险较高，需控制连续亏损次数</v>
      </c>
    </row>
    <row r="16" spans="1:5" x14ac:dyDescent="0.2">
      <c r="A16" s="7">
        <v>10</v>
      </c>
      <c r="B16" s="10">
        <f t="shared" si="1"/>
        <v>17000</v>
      </c>
      <c r="C16" s="10">
        <f t="shared" si="2"/>
        <v>33000</v>
      </c>
      <c r="D16" s="10">
        <f t="shared" si="3"/>
        <v>51.515151515151516</v>
      </c>
      <c r="E16" s="10" t="str">
        <f t="shared" si="0"/>
        <v>风险较高，需控制连续亏损次数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交易记录</vt:lpstr>
      <vt:lpstr>交易统计</vt:lpstr>
      <vt:lpstr>2026年月度收益</vt:lpstr>
      <vt:lpstr>压力测试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力 陈</cp:lastModifiedBy>
  <dcterms:created xsi:type="dcterms:W3CDTF">2015-06-05T18:19:34Z</dcterms:created>
  <dcterms:modified xsi:type="dcterms:W3CDTF">2026-03-27T07:34:06Z</dcterms:modified>
</cp:coreProperties>
</file>